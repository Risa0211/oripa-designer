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い方" sheetId="1" r:id="rId5"/>
    <sheet state="visible" name="設計入力" sheetId="2" r:id="rId6"/>
    <sheet state="visible" name="自動判定" sheetId="3" r:id="rId7"/>
    <sheet state="visible" name="公開前チェック" sheetId="4" r:id="rId8"/>
    <sheet state="visible" name="計算式リスト" sheetId="5" r:id="rId9"/>
    <sheet state="visible" name="損害計算(末広がり事案)" sheetId="6" r:id="rId10"/>
  </sheets>
  <definedNames/>
  <calcPr/>
</workbook>
</file>

<file path=xl/sharedStrings.xml><?xml version="1.0" encoding="utf-8"?>
<sst xmlns="http://schemas.openxmlformats.org/spreadsheetml/2006/main" count="489" uniqueCount="468">
  <si>
    <r>
      <rPr>
        <rFont val="Noto Sans CJK SC"/>
        <b/>
        <color rgb="FF000000"/>
        <sz val="13.0"/>
      </rPr>
      <t xml:space="preserve">ガチャ設計テンプレート </t>
    </r>
    <r>
      <rPr>
        <rFont val="Yu Gothic"/>
        <b/>
        <color rgb="FF000000"/>
        <sz val="13.0"/>
      </rPr>
      <t>v3.0</t>
    </r>
    <r>
      <rPr>
        <rFont val="Noto Sans CJK SC"/>
        <b/>
        <color rgb="FF000000"/>
        <sz val="13.0"/>
      </rPr>
      <t>（末広がり事案の再発防止・完全版）</t>
    </r>
  </si>
  <si>
    <r>
      <rPr>
        <rFont val="Yu Gothic"/>
        <b/>
        <color rgb="FF000000"/>
        <sz val="10.0"/>
      </rPr>
      <t>■ 30</t>
    </r>
    <r>
      <rPr>
        <rFont val="Noto Sans CJK SC"/>
        <b/>
        <color rgb="FF000000"/>
        <sz val="10.0"/>
      </rPr>
      <t>秒でわかる使い方</t>
    </r>
  </si>
  <si>
    <r>
      <rPr>
        <rFont val="Yu Gothic"/>
        <color rgb="FF000000"/>
        <sz val="10.0"/>
      </rPr>
      <t>1.</t>
    </r>
    <r>
      <rPr>
        <rFont val="Noto Sans CJK SC"/>
        <color rgb="FF000000"/>
        <sz val="10.0"/>
      </rPr>
      <t>「設計入力」シートの黄色いセル（青い文字）を埋める。白いセルは全部自動計算なので触らない。</t>
    </r>
  </si>
  <si>
    <r>
      <rPr>
        <rFont val="Yu Gothic"/>
        <color rgb="FF000000"/>
        <sz val="10.0"/>
      </rPr>
      <t>2.</t>
    </r>
    <r>
      <rPr>
        <rFont val="Noto Sans CJK SC"/>
        <color rgb="FF000000"/>
        <sz val="10.0"/>
      </rPr>
      <t>「自動判定」シートを開く。黄色い入力は</t>
    </r>
    <r>
      <rPr>
        <rFont val="Yu Gothic"/>
        <color rgb="FF000000"/>
        <sz val="10.0"/>
      </rPr>
      <t>5</t>
    </r>
    <r>
      <rPr>
        <rFont val="Noto Sans CJK SC"/>
        <color rgb="FF000000"/>
        <sz val="10.0"/>
      </rPr>
      <t>箇所（外部付与率・安全上限・実測変換率・許容損失ライン・想定進捗率）。既定値のままでも動く。</t>
    </r>
  </si>
  <si>
    <r>
      <rPr>
        <rFont val="Yu Gothic"/>
        <color rgb="FF000000"/>
        <sz val="10.0"/>
      </rPr>
      <t xml:space="preserve">3. </t>
    </r>
    <r>
      <rPr>
        <rFont val="Noto Sans CJK SC"/>
        <color rgb="FF000000"/>
        <sz val="10.0"/>
      </rPr>
      <t>いちばん下の ■総合判定 が「</t>
    </r>
    <r>
      <rPr>
        <rFont val="Yu Gothic"/>
        <color rgb="FF000000"/>
        <sz val="10.0"/>
      </rPr>
      <t xml:space="preserve">OK </t>
    </r>
    <r>
      <rPr>
        <rFont val="Noto Sans CJK SC"/>
        <color rgb="FF000000"/>
        <sz val="10.0"/>
      </rPr>
      <t>公開可」になるまで設計を直す。赤い</t>
    </r>
    <r>
      <rPr>
        <rFont val="Yu Gothic"/>
        <color rgb="FF000000"/>
        <sz val="10.0"/>
      </rPr>
      <t>NG</t>
    </r>
    <r>
      <rPr>
        <rFont val="Noto Sans CJK SC"/>
        <color rgb="FF000000"/>
        <sz val="10.0"/>
      </rPr>
      <t>行には直し方、オレンジの注意行には判断材料が書いてある。</t>
    </r>
  </si>
  <si>
    <r>
      <rPr>
        <rFont val="Yu Gothic"/>
        <color rgb="FF000000"/>
        <sz val="10.0"/>
      </rPr>
      <t>4.</t>
    </r>
    <r>
      <rPr>
        <rFont val="Noto Sans CJK SC"/>
        <color rgb="FF000000"/>
        <sz val="10.0"/>
      </rPr>
      <t>「公開前チェック」でバナーの数字と突合し、手動チェックリストを全部埋める。■公開前総合 が</t>
    </r>
    <r>
      <rPr>
        <rFont val="Yu Gothic"/>
        <color rgb="FF000000"/>
        <sz val="10.0"/>
      </rPr>
      <t>OK</t>
    </r>
    <r>
      <rPr>
        <rFont val="Noto Sans CJK SC"/>
        <color rgb="FF000000"/>
        <sz val="10.0"/>
      </rPr>
      <t>になったら公開。</t>
    </r>
  </si>
  <si>
    <r>
      <rPr>
        <rFont val="Yu Gothic"/>
        <color rgb="FF000000"/>
        <sz val="10.0"/>
      </rPr>
      <t xml:space="preserve">5. </t>
    </r>
    <r>
      <rPr>
        <rFont val="Noto Sans CJK SC"/>
        <color rgb="FF000000"/>
        <sz val="10.0"/>
      </rPr>
      <t>計算の意味がわからなくなったら「計算式リスト」を見る。全計算式と電卓用の逆算式が例つきで載っている。</t>
    </r>
  </si>
  <si>
    <t>■ 色のルール</t>
  </si>
  <si>
    <t>このセルの色（薄い黄色＋青い文字）＝ あなたが入力する場所</t>
  </si>
  <si>
    <t>このセル（白＋黒い文字）＝ 自動計算。編集しない・消さない</t>
  </si>
  <si>
    <r>
      <rPr>
        <rFont val="Noto Sans CJK SC"/>
        <color rgb="FF000000"/>
        <sz val="10.0"/>
      </rPr>
      <t>判定の色： 緑＝</t>
    </r>
    <r>
      <rPr>
        <rFont val="Yu Gothic"/>
        <color rgb="FF000000"/>
        <sz val="10.0"/>
      </rPr>
      <t xml:space="preserve">OK </t>
    </r>
    <r>
      <rPr>
        <rFont val="Noto Sans CJK SC"/>
        <color rgb="FF000000"/>
        <sz val="10.0"/>
      </rPr>
      <t>／ 赤＝</t>
    </r>
    <r>
      <rPr>
        <rFont val="Yu Gothic"/>
        <color rgb="FF000000"/>
        <sz val="10.0"/>
      </rPr>
      <t>NG</t>
    </r>
    <r>
      <rPr>
        <rFont val="Noto Sans CJK SC"/>
        <color rgb="FF000000"/>
        <sz val="10.0"/>
      </rPr>
      <t>（公開不可） ／ オレンジ＝注意（公開は可・内容確認のうえ判断） ／ グレー＝未入力・未使用</t>
    </r>
  </si>
  <si>
    <t>■ シート構成</t>
  </si>
  <si>
    <t>① 設計入力 …… 数字を入れる場所（基本情報＋賞品テーブル。確保在庫の列は任意）</t>
  </si>
  <si>
    <r>
      <rPr>
        <rFont val="Noto Sans CJK SC"/>
        <color rgb="FF000000"/>
        <sz val="10.0"/>
      </rPr>
      <t>② 自動判定 …… 公開して良い設計かを機械判定。</t>
    </r>
    <r>
      <rPr>
        <rFont val="Yu Gothic"/>
        <color rgb="FF000000"/>
        <sz val="10.0"/>
      </rPr>
      <t>EV</t>
    </r>
    <r>
      <rPr>
        <rFont val="Noto Sans CJK SC"/>
        <color rgb="FF000000"/>
        <sz val="10.0"/>
      </rPr>
      <t>・完全性・損益・途中終了リスクまで全部ここ</t>
    </r>
  </si>
  <si>
    <t>③ 公開前チェック …… バナー表記との突合＋手動チェックリスト。■公開前総合がこのシートのゲート</t>
  </si>
  <si>
    <t>④ 計算式リスト …… 全計算式の説明書＋自分で電卓で計算するときの逆算式</t>
  </si>
  <si>
    <r>
      <rPr>
        <rFont val="Noto Sans CJK SC"/>
        <color rgb="FF000000"/>
        <sz val="10.0"/>
      </rPr>
      <t>⑤ 損害計算</t>
    </r>
    <r>
      <rPr>
        <rFont val="Yu Gothic"/>
        <color rgb="FF000000"/>
        <sz val="10.0"/>
      </rPr>
      <t>(</t>
    </r>
    <r>
      <rPr>
        <rFont val="Noto Sans CJK SC"/>
        <color rgb="FF000000"/>
        <sz val="10.0"/>
      </rPr>
      <t>末広がり事案</t>
    </r>
    <r>
      <rPr>
        <rFont val="Yu Gothic"/>
        <color rgb="FF000000"/>
        <sz val="10.0"/>
      </rPr>
      <t xml:space="preserve">) …… </t>
    </r>
    <r>
      <rPr>
        <rFont val="Noto Sans CJK SC"/>
        <color rgb="FF000000"/>
        <sz val="10.0"/>
      </rPr>
      <t>末広がり事案の確定損害を出す専用シート</t>
    </r>
  </si>
  <si>
    <t>■ このテンプレートが機械的に検知するもの</t>
  </si>
  <si>
    <r>
      <rPr>
        <rFont val="Noto Sans CJK SC"/>
        <color rgb="FF000000"/>
        <sz val="10.0"/>
      </rPr>
      <t>・実効</t>
    </r>
    <r>
      <rPr>
        <rFont val="Yu Gothic"/>
        <color rgb="FF000000"/>
        <sz val="10.0"/>
      </rPr>
      <t>pt</t>
    </r>
    <r>
      <rPr>
        <rFont val="Noto Sans CJK SC"/>
        <color rgb="FF000000"/>
        <sz val="10.0"/>
      </rPr>
      <t>建て</t>
    </r>
    <r>
      <rPr>
        <rFont val="Yu Gothic"/>
        <color rgb="FF000000"/>
        <sz val="10.0"/>
      </rPr>
      <t>EV≧100%</t>
    </r>
    <r>
      <rPr>
        <rFont val="Noto Sans CJK SC"/>
        <color rgb="FF000000"/>
        <sz val="10.0"/>
      </rPr>
      <t>（単体</t>
    </r>
    <r>
      <rPr>
        <rFont val="Yu Gothic"/>
        <color rgb="FF000000"/>
        <sz val="10.0"/>
      </rPr>
      <t>EV</t>
    </r>
    <r>
      <rPr>
        <rFont val="Noto Sans CJK SC"/>
        <color rgb="FF000000"/>
        <sz val="10.0"/>
      </rPr>
      <t xml:space="preserve">＋クーポン等の外部付与を含む。末広がり事案の主因）→ </t>
    </r>
    <r>
      <rPr>
        <rFont val="Yu Gothic"/>
        <color rgb="FF000000"/>
        <sz val="10.0"/>
      </rPr>
      <t>NG</t>
    </r>
  </si>
  <si>
    <r>
      <rPr>
        <rFont val="Noto Sans CJK SC"/>
        <color rgb="FF000000"/>
        <sz val="10.0"/>
      </rPr>
      <t>・実効</t>
    </r>
    <r>
      <rPr>
        <rFont val="Yu Gothic"/>
        <color rgb="FF000000"/>
        <sz val="10.0"/>
      </rPr>
      <t>EV</t>
    </r>
    <r>
      <rPr>
        <rFont val="Noto Sans CJK SC"/>
        <color rgb="FF000000"/>
        <sz val="10.0"/>
      </rPr>
      <t>が安全上限（既定</t>
    </r>
    <r>
      <rPr>
        <rFont val="Yu Gothic"/>
        <color rgb="FF000000"/>
        <sz val="10.0"/>
      </rPr>
      <t>95%</t>
    </r>
    <r>
      <rPr>
        <rFont val="Noto Sans CJK SC"/>
        <color rgb="FF000000"/>
        <sz val="10.0"/>
      </rPr>
      <t>）以上 → 注意（マージン不足）</t>
    </r>
  </si>
  <si>
    <r>
      <rPr>
        <rFont val="Noto Sans CJK SC"/>
        <color rgb="FF000000"/>
        <sz val="10.0"/>
      </rPr>
      <t>・賞品口数の合計と総口数の不一致（</t>
    </r>
    <r>
      <rPr>
        <rFont val="Yu Gothic"/>
        <color rgb="FF000000"/>
        <sz val="10.0"/>
      </rPr>
      <t>483</t>
    </r>
    <r>
      <rPr>
        <rFont val="Noto Sans CJK SC"/>
        <color rgb="FF000000"/>
        <sz val="10.0"/>
      </rPr>
      <t xml:space="preserve">口事案）→ </t>
    </r>
    <r>
      <rPr>
        <rFont val="Yu Gothic"/>
        <color rgb="FF000000"/>
        <sz val="10.0"/>
      </rPr>
      <t>NG</t>
    </r>
  </si>
  <si>
    <r>
      <rPr>
        <rFont val="Noto Sans CJK SC"/>
        <color rgb="FF000000"/>
        <sz val="10.0"/>
      </rPr>
      <t>・賞品テーブルの入力漏れ：受取方法／表示</t>
    </r>
    <r>
      <rPr>
        <rFont val="Yu Gothic"/>
        <color rgb="FF000000"/>
        <sz val="10.0"/>
      </rPr>
      <t>PT</t>
    </r>
    <r>
      <rPr>
        <rFont val="Noto Sans CJK SC"/>
        <color rgb="FF000000"/>
        <sz val="10.0"/>
      </rPr>
      <t xml:space="preserve">が確定しない行／実価値・送料の未入力 → </t>
    </r>
    <r>
      <rPr>
        <rFont val="Yu Gothic"/>
        <color rgb="FF000000"/>
        <sz val="10.0"/>
      </rPr>
      <t>NG</t>
    </r>
  </si>
  <si>
    <r>
      <rPr>
        <rFont val="Noto Sans CJK SC"/>
        <color rgb="FF000000"/>
        <sz val="10.0"/>
      </rPr>
      <t xml:space="preserve">・確保在庫 ＜ 口数（在庫列を使った場合。オーバーセル防止）→ </t>
    </r>
    <r>
      <rPr>
        <rFont val="Yu Gothic"/>
        <color rgb="FF000000"/>
        <sz val="10.0"/>
      </rPr>
      <t>NG</t>
    </r>
  </si>
  <si>
    <r>
      <rPr>
        <rFont val="Noto Sans CJK SC"/>
        <color rgb="FF000000"/>
        <sz val="10.0"/>
      </rPr>
      <t>・仮名称・デモ名の賞品（なにか</t>
    </r>
    <r>
      <rPr>
        <rFont val="Yu Gothic"/>
        <color rgb="FF000000"/>
        <sz val="10.0"/>
      </rPr>
      <t>/TBD/</t>
    </r>
    <r>
      <rPr>
        <rFont val="Noto Sans CJK SC"/>
        <color rgb="FF000000"/>
        <sz val="10.0"/>
      </rPr>
      <t>テスト</t>
    </r>
    <r>
      <rPr>
        <rFont val="Yu Gothic"/>
        <color rgb="FF000000"/>
        <sz val="10.0"/>
      </rPr>
      <t>/</t>
    </r>
    <r>
      <rPr>
        <rFont val="Noto Sans CJK SC"/>
        <color rgb="FF000000"/>
        <sz val="10.0"/>
      </rPr>
      <t>仮</t>
    </r>
    <r>
      <rPr>
        <rFont val="Yu Gothic"/>
        <color rgb="FF000000"/>
        <sz val="10.0"/>
      </rPr>
      <t>/</t>
    </r>
    <r>
      <rPr>
        <rFont val="Noto Sans CJK SC"/>
        <color rgb="FF000000"/>
        <sz val="10.0"/>
      </rPr>
      <t>デモ</t>
    </r>
    <r>
      <rPr>
        <rFont val="Yu Gothic"/>
        <color rgb="FF000000"/>
        <sz val="10.0"/>
      </rPr>
      <t>/</t>
    </r>
    <r>
      <rPr>
        <rFont val="Noto Sans CJK SC"/>
        <color rgb="FF000000"/>
        <sz val="10.0"/>
      </rPr>
      <t>サンプル</t>
    </r>
    <r>
      <rPr>
        <rFont val="Yu Gothic"/>
        <color rgb="FF000000"/>
        <sz val="10.0"/>
      </rPr>
      <t>/</t>
    </r>
    <r>
      <rPr>
        <rFont val="Noto Sans CJK SC"/>
        <color rgb="FF000000"/>
        <sz val="10.0"/>
      </rPr>
      <t>ダミー</t>
    </r>
    <r>
      <rPr>
        <rFont val="Yu Gothic"/>
        <color rgb="FF000000"/>
        <sz val="10.0"/>
      </rPr>
      <t>/test</t>
    </r>
    <r>
      <rPr>
        <rFont val="Noto Sans CJK SC"/>
        <color rgb="FF000000"/>
        <sz val="10.0"/>
      </rPr>
      <t xml:space="preserve">。「仮面」は除外）→ </t>
    </r>
    <r>
      <rPr>
        <rFont val="Yu Gothic"/>
        <color rgb="FF000000"/>
        <sz val="10.0"/>
      </rPr>
      <t>NG</t>
    </r>
  </si>
  <si>
    <r>
      <rPr>
        <rFont val="Noto Sans CJK SC"/>
        <color rgb="FF000000"/>
        <sz val="10.0"/>
      </rPr>
      <t>・</t>
    </r>
    <r>
      <rPr>
        <rFont val="Yu Gothic"/>
        <color rgb="FF000000"/>
        <sz val="10.0"/>
      </rPr>
      <t>1</t>
    </r>
    <r>
      <rPr>
        <rFont val="Noto Sans CJK SC"/>
        <color rgb="FF000000"/>
        <sz val="10.0"/>
      </rPr>
      <t xml:space="preserve">人あたり購入上限の未設定 → </t>
    </r>
    <r>
      <rPr>
        <rFont val="Yu Gothic"/>
        <color rgb="FF000000"/>
        <sz val="10.0"/>
      </rPr>
      <t>NG</t>
    </r>
  </si>
  <si>
    <r>
      <rPr>
        <rFont val="Noto Sans CJK SC"/>
        <color rgb="FF000000"/>
        <sz val="10.0"/>
      </rPr>
      <t xml:space="preserve">・途中終了リスク：想定進捗で売れ止まり＋上位賞先出しの最悪損益が許容ラインを超過 → </t>
    </r>
    <r>
      <rPr>
        <rFont val="Yu Gothic"/>
        <color rgb="FF000000"/>
        <sz val="10.0"/>
      </rPr>
      <t>NG</t>
    </r>
    <r>
      <rPr>
        <rFont val="Noto Sans CJK SC"/>
        <color rgb="FF000000"/>
        <sz val="10.0"/>
      </rPr>
      <t>（許容内の赤字は注意）</t>
    </r>
  </si>
  <si>
    <r>
      <rPr>
        <rFont val="Noto Sans CJK SC"/>
        <color rgb="FF000000"/>
        <sz val="10.0"/>
      </rPr>
      <t xml:space="preserve">・バナー表記（総還元率／確率／最低保証）と実装値の乖離 → </t>
    </r>
    <r>
      <rPr>
        <rFont val="Yu Gothic"/>
        <color rgb="FF000000"/>
        <sz val="10.0"/>
      </rPr>
      <t>NG</t>
    </r>
  </si>
  <si>
    <t>■ 大原則（これだけは絶対）</t>
  </si>
  <si>
    <r>
      <rPr>
        <rFont val="Noto Sans CJK SC"/>
        <b/>
        <color rgb="FFC00000"/>
        <sz val="11.0"/>
      </rPr>
      <t>実効</t>
    </r>
    <r>
      <rPr>
        <rFont val="Yu Gothic"/>
        <b/>
        <color rgb="FFC00000"/>
        <sz val="11.0"/>
      </rPr>
      <t>pt</t>
    </r>
    <r>
      <rPr>
        <rFont val="Noto Sans CJK SC"/>
        <b/>
        <color rgb="FFC00000"/>
        <sz val="11.0"/>
      </rPr>
      <t>建て</t>
    </r>
    <r>
      <rPr>
        <rFont val="Yu Gothic"/>
        <b/>
        <color rgb="FFC00000"/>
        <sz val="11.0"/>
      </rPr>
      <t>EV</t>
    </r>
    <r>
      <rPr>
        <rFont val="Noto Sans CJK SC"/>
        <b/>
        <color rgb="FFC00000"/>
        <sz val="11.0"/>
      </rPr>
      <t>（単体</t>
    </r>
    <r>
      <rPr>
        <rFont val="Yu Gothic"/>
        <b/>
        <color rgb="FFC00000"/>
        <sz val="11.0"/>
      </rPr>
      <t>EV</t>
    </r>
    <r>
      <rPr>
        <rFont val="Noto Sans CJK SC"/>
        <b/>
        <color rgb="FFC00000"/>
        <sz val="11.0"/>
      </rPr>
      <t>＋外部付与見込み）は必ず</t>
    </r>
    <r>
      <rPr>
        <rFont val="Yu Gothic"/>
        <b/>
        <color rgb="FFC00000"/>
        <sz val="11.0"/>
      </rPr>
      <t>100%</t>
    </r>
    <r>
      <rPr>
        <rFont val="Noto Sans CJK SC"/>
        <b/>
        <color rgb="FFC00000"/>
        <sz val="11.0"/>
      </rPr>
      <t>未満、できれば安全上限</t>
    </r>
    <r>
      <rPr>
        <rFont val="Yu Gothic"/>
        <b/>
        <color rgb="FFC00000"/>
        <sz val="11.0"/>
      </rPr>
      <t>95%</t>
    </r>
    <r>
      <rPr>
        <rFont val="Noto Sans CJK SC"/>
        <b/>
        <color rgb="FFC00000"/>
        <sz val="11.0"/>
      </rPr>
      <t>未満にする。</t>
    </r>
  </si>
  <si>
    <r>
      <rPr>
        <rFont val="Noto Sans CJK SC"/>
        <color rgb="FF000000"/>
        <sz val="10.0"/>
      </rPr>
      <t>総還元率</t>
    </r>
    <r>
      <rPr>
        <rFont val="Yu Gothic"/>
        <color rgb="FF000000"/>
        <sz val="10.0"/>
      </rPr>
      <t>100%</t>
    </r>
    <r>
      <rPr>
        <rFont val="Noto Sans CJK SC"/>
        <color rgb="FF000000"/>
        <sz val="10.0"/>
      </rPr>
      <t>超の「見せ場」は、</t>
    </r>
    <r>
      <rPr>
        <rFont val="Yu Gothic"/>
        <color rgb="FF000000"/>
        <sz val="10.0"/>
      </rPr>
      <t>pt</t>
    </r>
    <r>
      <rPr>
        <rFont val="Noto Sans CJK SC"/>
        <color rgb="FF000000"/>
        <sz val="10.0"/>
      </rPr>
      <t>に変換できない発送限定枠で作る。発送限定なら</t>
    </r>
    <r>
      <rPr>
        <rFont val="Yu Gothic"/>
        <color rgb="FF000000"/>
        <sz val="10.0"/>
      </rPr>
      <t>pt</t>
    </r>
    <r>
      <rPr>
        <rFont val="Noto Sans CJK SC"/>
        <color rgb="FF000000"/>
        <sz val="10.0"/>
      </rPr>
      <t>が増殖しないので再投入ループが成立しない。</t>
    </r>
  </si>
  <si>
    <t>■ デモデータについて</t>
  </si>
  <si>
    <r>
      <rPr>
        <rFont val="Noto Sans CJK SC"/>
        <color rgb="FF000000"/>
        <sz val="10.0"/>
      </rPr>
      <t>いま入っているのは末広がり型の</t>
    </r>
    <r>
      <rPr>
        <rFont val="Yu Gothic"/>
        <color rgb="FF000000"/>
        <sz val="10.0"/>
      </rPr>
      <t>NG</t>
    </r>
    <r>
      <rPr>
        <rFont val="Noto Sans CJK SC"/>
        <color rgb="FF000000"/>
        <sz val="10.0"/>
      </rPr>
      <t>を再現したサンプル数値（実データではない）。自動判定を開くと、</t>
    </r>
    <r>
      <rPr>
        <rFont val="Yu Gothic"/>
        <color rgb="FF000000"/>
        <sz val="10.0"/>
      </rPr>
      <t>NG</t>
    </r>
    <r>
      <rPr>
        <rFont val="Noto Sans CJK SC"/>
        <color rgb="FF000000"/>
        <sz val="10.0"/>
      </rPr>
      <t>が</t>
    </r>
    <r>
      <rPr>
        <rFont val="Yu Gothic"/>
        <color rgb="FF000000"/>
        <sz val="10.0"/>
      </rPr>
      <t>2</t>
    </r>
    <r>
      <rPr>
        <rFont val="Noto Sans CJK SC"/>
        <color rgb="FF000000"/>
        <sz val="10.0"/>
      </rPr>
      <t>件（実効</t>
    </r>
    <r>
      <rPr>
        <rFont val="Yu Gothic"/>
        <color rgb="FF000000"/>
        <sz val="10.0"/>
      </rPr>
      <t>pt</t>
    </r>
    <r>
      <rPr>
        <rFont val="Noto Sans CJK SC"/>
        <color rgb="FF000000"/>
        <sz val="10.0"/>
      </rPr>
      <t>建て</t>
    </r>
    <r>
      <rPr>
        <rFont val="Yu Gothic"/>
        <color rgb="FF000000"/>
        <sz val="10.0"/>
      </rPr>
      <t>EV 105.25%</t>
    </r>
    <r>
      <rPr>
        <rFont val="Noto Sans CJK SC"/>
        <color rgb="FF000000"/>
        <sz val="10.0"/>
      </rPr>
      <t>・デモ名の賞品）と注意が</t>
    </r>
    <r>
      <rPr>
        <rFont val="Yu Gothic"/>
        <color rgb="FF000000"/>
        <sz val="10.0"/>
      </rPr>
      <t>1</t>
    </r>
    <r>
      <rPr>
        <rFont val="Noto Sans CJK SC"/>
        <color rgb="FF000000"/>
        <sz val="10.0"/>
      </rPr>
      <t>件（途中終了リスク）出る様子が確認できる。</t>
    </r>
  </si>
  <si>
    <r>
      <rPr>
        <rFont val="Noto Sans CJK SC"/>
        <color rgb="FFC00000"/>
        <sz val="10.0"/>
      </rPr>
      <t>新しいガチャを設計するときは、設計入力の黄色いセルの中身だけを</t>
    </r>
    <r>
      <rPr>
        <rFont val="Yu Gothic"/>
        <color rgb="FFC00000"/>
        <sz val="10.0"/>
      </rPr>
      <t>Delete</t>
    </r>
    <r>
      <rPr>
        <rFont val="Noto Sans CJK SC"/>
        <color rgb="FFC00000"/>
        <sz val="10.0"/>
      </rPr>
      <t>で消してから使う（白いセルの式は消さない）。</t>
    </r>
  </si>
  <si>
    <t>① 設計入力 — 入力するのはこのシートの黄色いセルだけ</t>
  </si>
  <si>
    <r>
      <rPr>
        <rFont val="Noto Sans CJK SC"/>
        <color rgb="FF595959"/>
        <sz val="9.0"/>
      </rPr>
      <t>黄色＋青字＝入力 ／ 白＝自動計算（触らない）。いま入っているのはデモ（</t>
    </r>
    <r>
      <rPr>
        <rFont val="Yu Gothic"/>
        <color rgb="FF595959"/>
        <sz val="9.0"/>
      </rPr>
      <t>NG</t>
    </r>
    <r>
      <rPr>
        <rFont val="Noto Sans CJK SC"/>
        <color rgb="FF595959"/>
        <sz val="9.0"/>
      </rPr>
      <t>例）。実際に使うときは黄色セルの中身を消してから。</t>
    </r>
  </si>
  <si>
    <t>基本情報</t>
  </si>
  <si>
    <t>ガチャタイトル</t>
  </si>
  <si>
    <t>1/319の天門を開け! アビスアイver</t>
  </si>
  <si>
    <r>
      <rPr>
        <rFont val="Noto Sans CJK SC"/>
        <color rgb="FF595959"/>
        <sz val="9.0"/>
      </rPr>
      <t>管理用の名前。仮</t>
    </r>
    <r>
      <rPr>
        <rFont val="Yu Gothic"/>
        <color rgb="FF595959"/>
        <sz val="9.0"/>
      </rPr>
      <t>/</t>
    </r>
    <r>
      <rPr>
        <rFont val="Noto Sans CJK SC"/>
        <color rgb="FF595959"/>
        <sz val="9.0"/>
      </rPr>
      <t>テスト等の文字は本番前に消す</t>
    </r>
  </si>
  <si>
    <r>
      <rPr>
        <rFont val="Noto Sans CJK SC"/>
        <b/>
        <color rgb="FF000000"/>
        <sz val="10.0"/>
      </rPr>
      <t>単価（</t>
    </r>
    <r>
      <rPr>
        <rFont val="Yu Gothic"/>
        <b/>
        <color rgb="FF000000"/>
        <sz val="10.0"/>
      </rPr>
      <t>pt/</t>
    </r>
    <r>
      <rPr>
        <rFont val="Noto Sans CJK SC"/>
        <b/>
        <color rgb="FF000000"/>
        <sz val="10.0"/>
      </rPr>
      <t>口）</t>
    </r>
  </si>
  <si>
    <r>
      <rPr>
        <rFont val="Yu Gothic"/>
        <color rgb="FF595959"/>
        <sz val="9.0"/>
      </rPr>
      <t>1</t>
    </r>
    <r>
      <rPr>
        <rFont val="Noto Sans CJK SC"/>
        <color rgb="FF595959"/>
        <sz val="9.0"/>
      </rPr>
      <t>口の価格。</t>
    </r>
    <r>
      <rPr>
        <rFont val="Yu Gothic"/>
        <color rgb="FF595959"/>
        <sz val="9.0"/>
      </rPr>
      <t>1pt</t>
    </r>
    <r>
      <rPr>
        <rFont val="Noto Sans CJK SC"/>
        <color rgb="FF595959"/>
        <sz val="9.0"/>
      </rPr>
      <t>＝</t>
    </r>
    <r>
      <rPr>
        <rFont val="Yu Gothic"/>
        <color rgb="FF595959"/>
        <sz val="9.0"/>
      </rPr>
      <t>1</t>
    </r>
    <r>
      <rPr>
        <rFont val="Noto Sans CJK SC"/>
        <color rgb="FF595959"/>
        <sz val="9.0"/>
      </rPr>
      <t>円</t>
    </r>
  </si>
  <si>
    <t>総口数</t>
  </si>
  <si>
    <t>このガチャの口数。賞品テーブルの口数合計と一致が必須</t>
  </si>
  <si>
    <r>
      <rPr>
        <rFont val="Yu Gothic"/>
        <b/>
        <color rgb="FF000000"/>
        <sz val="10.0"/>
      </rPr>
      <t>1</t>
    </r>
    <r>
      <rPr>
        <rFont val="Noto Sans CJK SC"/>
        <b/>
        <color rgb="FF000000"/>
        <sz val="10.0"/>
      </rPr>
      <t>人あたり購入上限（口</t>
    </r>
    <r>
      <rPr>
        <rFont val="Yu Gothic"/>
        <b/>
        <color rgb="FF000000"/>
        <sz val="10.0"/>
      </rPr>
      <t>/</t>
    </r>
    <r>
      <rPr>
        <rFont val="Noto Sans CJK SC"/>
        <b/>
        <color rgb="FF000000"/>
        <sz val="10.0"/>
      </rPr>
      <t>日）</t>
    </r>
  </si>
  <si>
    <t>なし</t>
  </si>
  <si>
    <r>
      <rPr>
        <rFont val="Noto Sans CJK SC"/>
        <color rgb="FF595959"/>
        <sz val="9.0"/>
      </rPr>
      <t>未設定だと自動判定で</t>
    </r>
    <r>
      <rPr>
        <rFont val="Yu Gothic"/>
        <color rgb="FF595959"/>
        <sz val="9.0"/>
      </rPr>
      <t>NG</t>
    </r>
    <r>
      <rPr>
        <rFont val="Noto Sans CJK SC"/>
        <color rgb="FF595959"/>
        <sz val="9.0"/>
      </rPr>
      <t>。買い占め・ループ対策</t>
    </r>
  </si>
  <si>
    <r>
      <rPr>
        <rFont val="Yu Gothic"/>
        <b/>
        <color rgb="FF000000"/>
        <sz val="10.0"/>
      </rPr>
      <t>1</t>
    </r>
    <r>
      <rPr>
        <rFont val="Noto Sans CJK SC"/>
        <b/>
        <color rgb="FF000000"/>
        <sz val="10.0"/>
      </rPr>
      <t>人あたり購入上限（口</t>
    </r>
    <r>
      <rPr>
        <rFont val="Yu Gothic"/>
        <b/>
        <color rgb="FF000000"/>
        <sz val="10.0"/>
      </rPr>
      <t>/</t>
    </r>
    <r>
      <rPr>
        <rFont val="Noto Sans CJK SC"/>
        <b/>
        <color rgb="FF000000"/>
        <sz val="10.0"/>
      </rPr>
      <t>累計）</t>
    </r>
  </si>
  <si>
    <r>
      <rPr>
        <rFont val="Noto Sans CJK SC"/>
        <color rgb="FF595959"/>
        <sz val="9.0"/>
      </rPr>
      <t>同上。</t>
    </r>
    <r>
      <rPr>
        <rFont val="Yu Gothic"/>
        <color rgb="FF595959"/>
        <sz val="9.0"/>
      </rPr>
      <t>1</t>
    </r>
    <r>
      <rPr>
        <rFont val="Noto Sans CJK SC"/>
        <color rgb="FF595959"/>
        <sz val="9.0"/>
      </rPr>
      <t>人が期間中に買える上限</t>
    </r>
  </si>
  <si>
    <r>
      <rPr>
        <rFont val="Yu Gothic"/>
        <b/>
        <color rgb="FF000000"/>
        <sz val="10.0"/>
      </rPr>
      <t>pt</t>
    </r>
    <r>
      <rPr>
        <rFont val="Noto Sans CJK SC"/>
        <b/>
        <color rgb="FF000000"/>
        <sz val="10.0"/>
      </rPr>
      <t>実質原価率</t>
    </r>
  </si>
  <si>
    <r>
      <rPr>
        <rFont val="Yu Gothic"/>
        <color rgb="FF595959"/>
        <sz val="9.0"/>
      </rPr>
      <t>1pt</t>
    </r>
    <r>
      <rPr>
        <rFont val="Noto Sans CJK SC"/>
        <color rgb="FF595959"/>
        <sz val="9.0"/>
      </rPr>
      <t>を商品で消化するときの実コスト。既定</t>
    </r>
    <r>
      <rPr>
        <rFont val="Yu Gothic"/>
        <color rgb="FF595959"/>
        <sz val="9.0"/>
      </rPr>
      <t>0.72</t>
    </r>
    <r>
      <rPr>
        <rFont val="Noto Sans CJK SC"/>
        <color rgb="FF595959"/>
        <sz val="9.0"/>
      </rPr>
      <t>＝</t>
    </r>
    <r>
      <rPr>
        <rFont val="Yu Gothic"/>
        <color rgb="FF595959"/>
        <sz val="9.0"/>
      </rPr>
      <t>1pt</t>
    </r>
    <r>
      <rPr>
        <rFont val="Noto Sans CJK SC"/>
        <color rgb="FF595959"/>
        <sz val="9.0"/>
      </rPr>
      <t>あたり約</t>
    </r>
    <r>
      <rPr>
        <rFont val="Yu Gothic"/>
        <color rgb="FF595959"/>
        <sz val="9.0"/>
      </rPr>
      <t>0.72</t>
    </r>
    <r>
      <rPr>
        <rFont val="Noto Sans CJK SC"/>
        <color rgb="FF595959"/>
        <sz val="9.0"/>
      </rPr>
      <t>円。変える場合は税理士と相談</t>
    </r>
  </si>
  <si>
    <r>
      <rPr>
        <rFont val="Noto Sans CJK SC"/>
        <b/>
        <color rgb="FF000000"/>
        <sz val="10.0"/>
      </rPr>
      <t>総売上（</t>
    </r>
    <r>
      <rPr>
        <rFont val="Yu Gothic"/>
        <b/>
        <color rgb="FF000000"/>
        <sz val="10.0"/>
      </rPr>
      <t>pt</t>
    </r>
    <r>
      <rPr>
        <rFont val="Noto Sans CJK SC"/>
        <b/>
        <color rgb="FF000000"/>
        <sz val="10.0"/>
      </rPr>
      <t>＝円）</t>
    </r>
  </si>
  <si>
    <r>
      <rPr>
        <rFont val="Noto Sans CJK SC"/>
        <color rgb="FF595959"/>
        <sz val="9.0"/>
      </rPr>
      <t xml:space="preserve">自動計算：単価 </t>
    </r>
    <r>
      <rPr>
        <rFont val="Yu Gothic"/>
        <color rgb="FF595959"/>
        <sz val="9.0"/>
      </rPr>
      <t xml:space="preserve">× </t>
    </r>
    <r>
      <rPr>
        <rFont val="Noto Sans CJK SC"/>
        <color rgb="FF595959"/>
        <sz val="9.0"/>
      </rPr>
      <t>総口数。完売時の売上規模</t>
    </r>
  </si>
  <si>
    <r>
      <rPr>
        <rFont val="Noto Sans CJK SC"/>
        <b/>
        <color rgb="FF000000"/>
        <sz val="10.0"/>
      </rPr>
      <t>賞品テーブル（黄色セルを入力。</t>
    </r>
    <r>
      <rPr>
        <rFont val="Yu Gothic"/>
        <b/>
        <color rgb="FF000000"/>
        <sz val="10.0"/>
      </rPr>
      <t>J</t>
    </r>
    <r>
      <rPr>
        <rFont val="Noto Sans CJK SC"/>
        <b/>
        <color rgb="FF000000"/>
        <sz val="10.0"/>
      </rPr>
      <t>〜</t>
    </r>
    <r>
      <rPr>
        <rFont val="Yu Gothic"/>
        <b/>
        <color rgb="FF000000"/>
        <sz val="10.0"/>
      </rPr>
      <t>M</t>
    </r>
    <r>
      <rPr>
        <rFont val="Noto Sans CJK SC"/>
        <b/>
        <color rgb="FF000000"/>
        <sz val="10.0"/>
      </rPr>
      <t>列は自動計算。</t>
    </r>
    <r>
      <rPr>
        <rFont val="Yu Gothic"/>
        <b/>
        <color rgb="FF000000"/>
        <sz val="10.0"/>
      </rPr>
      <t>N</t>
    </r>
    <r>
      <rPr>
        <rFont val="Noto Sans CJK SC"/>
        <b/>
        <color rgb="FF000000"/>
        <sz val="10.0"/>
      </rPr>
      <t>列の確保在庫は任意）</t>
    </r>
  </si>
  <si>
    <t>賞ランク</t>
  </si>
  <si>
    <t>賞品名</t>
  </si>
  <si>
    <t>型番</t>
  </si>
  <si>
    <t>口数</t>
  </si>
  <si>
    <r>
      <rPr>
        <rFont val="Noto Sans CJK SC"/>
        <b/>
        <color rgb="FFFFFFFF"/>
        <sz val="9.0"/>
      </rPr>
      <t>実価値</t>
    </r>
    <r>
      <rPr>
        <rFont val="Yu Gothic"/>
        <b/>
        <color rgb="FFFFFFFF"/>
        <sz val="9.0"/>
      </rPr>
      <t>/</t>
    </r>
    <r>
      <rPr>
        <rFont val="Noto Sans CJK SC"/>
        <b/>
        <color rgb="FFFFFFFF"/>
        <sz val="9.0"/>
      </rPr>
      <t xml:space="preserve">枚
</t>
    </r>
    <r>
      <rPr>
        <rFont val="Yu Gothic"/>
        <b/>
        <color rgb="FFFFFFFF"/>
        <sz val="9.0"/>
      </rPr>
      <t>(</t>
    </r>
    <r>
      <rPr>
        <rFont val="Noto Sans CJK SC"/>
        <b/>
        <color rgb="FFFFFFFF"/>
        <sz val="9.0"/>
      </rPr>
      <t>円</t>
    </r>
    <r>
      <rPr>
        <rFont val="Yu Gothic"/>
        <b/>
        <color rgb="FFFFFFFF"/>
        <sz val="9.0"/>
      </rPr>
      <t>)</t>
    </r>
  </si>
  <si>
    <r>
      <rPr>
        <rFont val="Noto Sans CJK SC"/>
        <b/>
        <color rgb="FFFFFFFF"/>
        <sz val="9.0"/>
      </rPr>
      <t>送料</t>
    </r>
    <r>
      <rPr>
        <rFont val="Yu Gothic"/>
        <b/>
        <color rgb="FFFFFFFF"/>
        <sz val="9.0"/>
      </rPr>
      <t>/</t>
    </r>
    <r>
      <rPr>
        <rFont val="Noto Sans CJK SC"/>
        <b/>
        <color rgb="FFFFFFFF"/>
        <sz val="9.0"/>
      </rPr>
      <t xml:space="preserve">件
</t>
    </r>
    <r>
      <rPr>
        <rFont val="Yu Gothic"/>
        <b/>
        <color rgb="FFFFFFFF"/>
        <sz val="9.0"/>
      </rPr>
      <t>(</t>
    </r>
    <r>
      <rPr>
        <rFont val="Noto Sans CJK SC"/>
        <b/>
        <color rgb="FFFFFFFF"/>
        <sz val="9.0"/>
      </rPr>
      <t>円</t>
    </r>
    <r>
      <rPr>
        <rFont val="Yu Gothic"/>
        <b/>
        <color rgb="FFFFFFFF"/>
        <sz val="9.0"/>
      </rPr>
      <t>)</t>
    </r>
  </si>
  <si>
    <t>受取方法</t>
  </si>
  <si>
    <t>上乗せ倍率</t>
  </si>
  <si>
    <r>
      <rPr>
        <rFont val="Noto Sans CJK SC"/>
        <b/>
        <color rgb="FFFFFFFF"/>
        <sz val="9.0"/>
      </rPr>
      <t>表示</t>
    </r>
    <r>
      <rPr>
        <rFont val="Yu Gothic"/>
        <b/>
        <color rgb="FFFFFFFF"/>
        <sz val="9.0"/>
      </rPr>
      <t xml:space="preserve">PT
</t>
    </r>
    <r>
      <rPr>
        <rFont val="Noto Sans CJK SC"/>
        <b/>
        <color rgb="FFFFFFFF"/>
        <sz val="9.0"/>
      </rPr>
      <t>直接指定</t>
    </r>
    <r>
      <rPr>
        <rFont val="Yu Gothic"/>
        <b/>
        <color rgb="FFFFFFFF"/>
        <sz val="9.0"/>
      </rPr>
      <t>(</t>
    </r>
    <r>
      <rPr>
        <rFont val="Noto Sans CJK SC"/>
        <b/>
        <color rgb="FFFFFFFF"/>
        <sz val="9.0"/>
      </rPr>
      <t>任意</t>
    </r>
    <r>
      <rPr>
        <rFont val="Yu Gothic"/>
        <b/>
        <color rgb="FFFFFFFF"/>
        <sz val="9.0"/>
      </rPr>
      <t>)</t>
    </r>
  </si>
  <si>
    <r>
      <rPr>
        <rFont val="Noto Sans CJK SC"/>
        <b/>
        <color rgb="FFFFFFFF"/>
        <sz val="9.0"/>
      </rPr>
      <t>表示</t>
    </r>
    <r>
      <rPr>
        <rFont val="Yu Gothic"/>
        <b/>
        <color rgb="FFFFFFFF"/>
        <sz val="9.0"/>
      </rPr>
      <t>PT/</t>
    </r>
    <r>
      <rPr>
        <rFont val="Noto Sans CJK SC"/>
        <b/>
        <color rgb="FFFFFFFF"/>
        <sz val="9.0"/>
      </rPr>
      <t xml:space="preserve">枚
</t>
    </r>
    <r>
      <rPr>
        <rFont val="Yu Gothic"/>
        <b/>
        <color rgb="FFFFFFFF"/>
        <sz val="9.0"/>
      </rPr>
      <t>(</t>
    </r>
    <r>
      <rPr>
        <rFont val="Noto Sans CJK SC"/>
        <b/>
        <color rgb="FFFFFFFF"/>
        <sz val="9.0"/>
      </rPr>
      <t>自動</t>
    </r>
    <r>
      <rPr>
        <rFont val="Yu Gothic"/>
        <b/>
        <color rgb="FFFFFFFF"/>
        <sz val="9.0"/>
      </rPr>
      <t>)</t>
    </r>
  </si>
  <si>
    <r>
      <rPr>
        <rFont val="Noto Sans CJK SC"/>
        <b/>
        <color rgb="FFFFFFFF"/>
        <sz val="9.0"/>
      </rPr>
      <t>表示</t>
    </r>
    <r>
      <rPr>
        <rFont val="Yu Gothic"/>
        <b/>
        <color rgb="FFFFFFFF"/>
        <sz val="9.0"/>
      </rPr>
      <t>PT</t>
    </r>
    <r>
      <rPr>
        <rFont val="Noto Sans CJK SC"/>
        <b/>
        <color rgb="FFFFFFFF"/>
        <sz val="9.0"/>
      </rPr>
      <t xml:space="preserve">小計
</t>
    </r>
    <r>
      <rPr>
        <rFont val="Yu Gothic"/>
        <b/>
        <color rgb="FFFFFFFF"/>
        <sz val="9.0"/>
      </rPr>
      <t>(</t>
    </r>
    <r>
      <rPr>
        <rFont val="Noto Sans CJK SC"/>
        <b/>
        <color rgb="FFFFFFFF"/>
        <sz val="9.0"/>
      </rPr>
      <t>自動</t>
    </r>
    <r>
      <rPr>
        <rFont val="Yu Gothic"/>
        <b/>
        <color rgb="FFFFFFFF"/>
        <sz val="9.0"/>
      </rPr>
      <t>)</t>
    </r>
  </si>
  <si>
    <r>
      <rPr>
        <rFont val="Noto Sans CJK SC"/>
        <b/>
        <color rgb="FFFFFFFF"/>
        <sz val="9.0"/>
      </rPr>
      <t xml:space="preserve">実価値小計
</t>
    </r>
    <r>
      <rPr>
        <rFont val="Yu Gothic"/>
        <b/>
        <color rgb="FFFFFFFF"/>
        <sz val="9.0"/>
      </rPr>
      <t>(</t>
    </r>
    <r>
      <rPr>
        <rFont val="Noto Sans CJK SC"/>
        <b/>
        <color rgb="FFFFFFFF"/>
        <sz val="9.0"/>
      </rPr>
      <t>自動</t>
    </r>
    <r>
      <rPr>
        <rFont val="Yu Gothic"/>
        <b/>
        <color rgb="FFFFFFFF"/>
        <sz val="9.0"/>
      </rPr>
      <t>)</t>
    </r>
  </si>
  <si>
    <r>
      <rPr>
        <rFont val="Noto Sans CJK SC"/>
        <b/>
        <color rgb="FFFFFFFF"/>
        <sz val="9.0"/>
      </rPr>
      <t xml:space="preserve">出現率
</t>
    </r>
    <r>
      <rPr>
        <rFont val="Yu Gothic"/>
        <b/>
        <color rgb="FFFFFFFF"/>
        <sz val="9.0"/>
      </rPr>
      <t>(</t>
    </r>
    <r>
      <rPr>
        <rFont val="Noto Sans CJK SC"/>
        <b/>
        <color rgb="FFFFFFFF"/>
        <sz val="9.0"/>
      </rPr>
      <t>自動</t>
    </r>
    <r>
      <rPr>
        <rFont val="Yu Gothic"/>
        <b/>
        <color rgb="FFFFFFFF"/>
        <sz val="9.0"/>
      </rPr>
      <t>)</t>
    </r>
  </si>
  <si>
    <r>
      <rPr>
        <rFont val="Noto Sans CJK SC"/>
        <b/>
        <color rgb="FFFFFFFF"/>
        <sz val="9.0"/>
      </rPr>
      <t xml:space="preserve">確保在庫
</t>
    </r>
    <r>
      <rPr>
        <rFont val="Yu Gothic"/>
        <b/>
        <color rgb="FFFFFFFF"/>
        <sz val="9.0"/>
      </rPr>
      <t>(</t>
    </r>
    <r>
      <rPr>
        <rFont val="Noto Sans CJK SC"/>
        <b/>
        <color rgb="FFFFFFFF"/>
        <sz val="9.0"/>
      </rPr>
      <t>任意</t>
    </r>
    <r>
      <rPr>
        <rFont val="Yu Gothic"/>
        <b/>
        <color rgb="FFFFFFFF"/>
        <sz val="9.0"/>
      </rPr>
      <t>)</t>
    </r>
  </si>
  <si>
    <t>メモ</t>
  </si>
  <si>
    <t>1等</t>
  </si>
  <si>
    <t>アビスアイ</t>
  </si>
  <si>
    <t>-</t>
  </si>
  <si>
    <t>選択制</t>
  </si>
  <si>
    <t>その他</t>
  </si>
  <si>
    <t>2pt交換専用</t>
  </si>
  <si>
    <t>pt限定</t>
  </si>
  <si>
    <t>1pt交換専用</t>
  </si>
  <si>
    <t>合計</t>
  </si>
  <si>
    <r>
      <rPr>
        <rFont val="Noto Sans CJK SC"/>
        <color rgb="FF595959"/>
        <sz val="9.0"/>
      </rPr>
      <t>※ 表示</t>
    </r>
    <r>
      <rPr>
        <rFont val="Yu Gothic"/>
        <color rgb="FF595959"/>
        <sz val="9.0"/>
      </rPr>
      <t>PT/</t>
    </r>
    <r>
      <rPr>
        <rFont val="Noto Sans CJK SC"/>
        <color rgb="FF595959"/>
        <sz val="9.0"/>
      </rPr>
      <t>枚の決まり方：「表示</t>
    </r>
    <r>
      <rPr>
        <rFont val="Yu Gothic"/>
        <color rgb="FF595959"/>
        <sz val="9.0"/>
      </rPr>
      <t>PT</t>
    </r>
    <r>
      <rPr>
        <rFont val="Noto Sans CJK SC"/>
        <color rgb="FF595959"/>
        <sz val="9.0"/>
      </rPr>
      <t xml:space="preserve">直接指定」があればその値。空欄なら 実価値 </t>
    </r>
    <r>
      <rPr>
        <rFont val="Yu Gothic"/>
        <color rgb="FF595959"/>
        <sz val="9.0"/>
      </rPr>
      <t xml:space="preserve">× </t>
    </r>
    <r>
      <rPr>
        <rFont val="Noto Sans CJK SC"/>
        <color rgb="FF595959"/>
        <sz val="9.0"/>
      </rPr>
      <t>上乗せ倍率（四捨五入）。※ 確保在庫を入力した行は「在庫≧口数」を自動判定でチェック（オーバーセル防止）。空欄の行はチェック対象外。</t>
    </r>
  </si>
  <si>
    <r>
      <rPr>
        <rFont val="Noto Sans CJK SC"/>
        <b/>
        <color rgb="FF000000"/>
        <sz val="13.0"/>
      </rPr>
      <t>② 自動判定 — ■総合判定が「</t>
    </r>
    <r>
      <rPr>
        <rFont val="Yu Gothic"/>
        <b/>
        <color rgb="FF000000"/>
        <sz val="13.0"/>
      </rPr>
      <t xml:space="preserve">OK </t>
    </r>
    <r>
      <rPr>
        <rFont val="Noto Sans CJK SC"/>
        <b/>
        <color rgb="FF000000"/>
        <sz val="13.0"/>
      </rPr>
      <t>公開可」になるまで公開不可</t>
    </r>
  </si>
  <si>
    <r>
      <rPr>
        <rFont val="Noto Sans CJK SC"/>
        <color rgb="FF595959"/>
        <sz val="9.0"/>
      </rPr>
      <t>入力は黄色の</t>
    </r>
    <r>
      <rPr>
        <rFont val="Yu Gothic"/>
        <color rgb="FF595959"/>
        <sz val="9.0"/>
      </rPr>
      <t>5</t>
    </r>
    <r>
      <rPr>
        <rFont val="Noto Sans CJK SC"/>
        <color rgb="FF595959"/>
        <sz val="9.0"/>
      </rPr>
      <t>箇所（外部付与見込み・安全上限・実測変換率・許容損失ライン・想定進捗率）だけ。既定値のままでも動く。あとは全部自動。</t>
    </r>
  </si>
  <si>
    <t>項目</t>
  </si>
  <si>
    <t>値</t>
  </si>
  <si>
    <t>判定</t>
  </si>
  <si>
    <r>
      <rPr>
        <rFont val="Noto Sans CJK SC"/>
        <b/>
        <color rgb="FFFFFFFF"/>
        <sz val="9.0"/>
      </rPr>
      <t>説明・</t>
    </r>
    <r>
      <rPr>
        <rFont val="Yu Gothic"/>
        <b/>
        <color rgb="FFFFFFFF"/>
        <sz val="9.0"/>
      </rPr>
      <t>NG/</t>
    </r>
    <r>
      <rPr>
        <rFont val="Noto Sans CJK SC"/>
        <b/>
        <color rgb="FFFFFFFF"/>
        <sz val="9.0"/>
      </rPr>
      <t>注意のときの直し方</t>
    </r>
  </si>
  <si>
    <r>
      <rPr>
        <rFont val="Noto Sans CJK SC"/>
        <b/>
        <color rgb="FF000000"/>
        <sz val="10.0"/>
      </rPr>
      <t>基本数値・</t>
    </r>
    <r>
      <rPr>
        <rFont val="Yu Gothic"/>
        <b/>
        <color rgb="FF000000"/>
        <sz val="10.0"/>
      </rPr>
      <t>EV</t>
    </r>
    <r>
      <rPr>
        <rFont val="Noto Sans CJK SC"/>
        <b/>
        <color rgb="FF000000"/>
        <sz val="10.0"/>
      </rPr>
      <t>（実効</t>
    </r>
    <r>
      <rPr>
        <rFont val="Yu Gothic"/>
        <b/>
        <color rgb="FF000000"/>
        <sz val="10.0"/>
      </rPr>
      <t>EV</t>
    </r>
    <r>
      <rPr>
        <rFont val="Noto Sans CJK SC"/>
        <b/>
        <color rgb="FF000000"/>
        <sz val="10.0"/>
      </rPr>
      <t>がこの表の心臓部）</t>
    </r>
  </si>
  <si>
    <r>
      <rPr>
        <rFont val="Noto Sans CJK SC"/>
        <b/>
        <color rgb="FF000000"/>
        <sz val="10.0"/>
      </rPr>
      <t>総売上（</t>
    </r>
    <r>
      <rPr>
        <rFont val="Yu Gothic"/>
        <b/>
        <color rgb="FF000000"/>
        <sz val="10.0"/>
      </rPr>
      <t>pt</t>
    </r>
    <r>
      <rPr>
        <rFont val="Noto Sans CJK SC"/>
        <b/>
        <color rgb="FF000000"/>
        <sz val="10.0"/>
      </rPr>
      <t>＝円）</t>
    </r>
  </si>
  <si>
    <r>
      <rPr>
        <rFont val="Noto Sans CJK SC"/>
        <color rgb="FF595959"/>
        <sz val="8.0"/>
      </rPr>
      <t xml:space="preserve">単価 </t>
    </r>
    <r>
      <rPr>
        <rFont val="Yu Gothic"/>
        <color rgb="FF595959"/>
        <sz val="8.0"/>
      </rPr>
      <t xml:space="preserve">× </t>
    </r>
    <r>
      <rPr>
        <rFont val="Noto Sans CJK SC"/>
        <color rgb="FF595959"/>
        <sz val="8.0"/>
      </rPr>
      <t>総口数。完売時にお客様から入る</t>
    </r>
    <r>
      <rPr>
        <rFont val="Yu Gothic"/>
        <color rgb="FF595959"/>
        <sz val="8.0"/>
      </rPr>
      <t>pt</t>
    </r>
    <r>
      <rPr>
        <rFont val="Noto Sans CJK SC"/>
        <color rgb="FF595959"/>
        <sz val="8.0"/>
      </rPr>
      <t>の総額</t>
    </r>
  </si>
  <si>
    <t>賞品口数の合計</t>
  </si>
  <si>
    <r>
      <rPr>
        <rFont val="Yu Gothic"/>
        <color rgb="FF595959"/>
        <sz val="8.0"/>
      </rPr>
      <t>483</t>
    </r>
    <r>
      <rPr>
        <rFont val="Noto Sans CJK SC"/>
        <color rgb="FF595959"/>
        <sz val="8.0"/>
      </rPr>
      <t>口事案の再発防止。賞品の口数を足すと総口数ぴったりになること</t>
    </r>
  </si>
  <si>
    <r>
      <rPr>
        <rFont val="Noto Sans CJK SC"/>
        <color rgb="FF000000"/>
        <sz val="10.0"/>
      </rPr>
      <t>表示</t>
    </r>
    <r>
      <rPr>
        <rFont val="Yu Gothic"/>
        <color rgb="FF000000"/>
        <sz val="10.0"/>
      </rPr>
      <t>PT</t>
    </r>
    <r>
      <rPr>
        <rFont val="Noto Sans CJK SC"/>
        <color rgb="FF000000"/>
        <sz val="10.0"/>
      </rPr>
      <t>合計（全賞品）</t>
    </r>
  </si>
  <si>
    <r>
      <rPr>
        <rFont val="Noto Sans CJK SC"/>
        <color rgb="FF595959"/>
        <sz val="8.0"/>
      </rPr>
      <t>お客様に付与しうる</t>
    </r>
    <r>
      <rPr>
        <rFont val="Yu Gothic"/>
        <color rgb="FF595959"/>
        <sz val="8.0"/>
      </rPr>
      <t>pt</t>
    </r>
    <r>
      <rPr>
        <rFont val="Noto Sans CJK SC"/>
        <color rgb="FF595959"/>
        <sz val="8.0"/>
      </rPr>
      <t>の総額（額面）</t>
    </r>
  </si>
  <si>
    <t>総還元率（表示ベース）</t>
  </si>
  <si>
    <r>
      <rPr>
        <rFont val="Noto Sans CJK SC"/>
        <color rgb="FF595959"/>
        <sz val="8.0"/>
      </rPr>
      <t>表示</t>
    </r>
    <r>
      <rPr>
        <rFont val="Yu Gothic"/>
        <color rgb="FF595959"/>
        <sz val="8.0"/>
      </rPr>
      <t>PT</t>
    </r>
    <r>
      <rPr>
        <rFont val="Noto Sans CJK SC"/>
        <color rgb="FF595959"/>
        <sz val="8.0"/>
      </rPr>
      <t xml:space="preserve">合計 </t>
    </r>
    <r>
      <rPr>
        <rFont val="Yu Gothic"/>
        <color rgb="FF595959"/>
        <sz val="8.0"/>
      </rPr>
      <t xml:space="preserve">÷ </t>
    </r>
    <r>
      <rPr>
        <rFont val="Noto Sans CJK SC"/>
        <color rgb="FF595959"/>
        <sz val="8.0"/>
      </rPr>
      <t>総売上。バナーに書く「◯</t>
    </r>
    <r>
      <rPr>
        <rFont val="Yu Gothic"/>
        <color rgb="FF595959"/>
        <sz val="8.0"/>
      </rPr>
      <t>%</t>
    </r>
    <r>
      <rPr>
        <rFont val="Noto Sans CJK SC"/>
        <color rgb="FF595959"/>
        <sz val="8.0"/>
      </rPr>
      <t>」</t>
    </r>
  </si>
  <si>
    <r>
      <rPr>
        <rFont val="Noto Sans CJK SC"/>
        <color rgb="FF000000"/>
        <sz val="10.0"/>
      </rPr>
      <t>発送限定の表示</t>
    </r>
    <r>
      <rPr>
        <rFont val="Yu Gothic"/>
        <color rgb="FF000000"/>
        <sz val="10.0"/>
      </rPr>
      <t>PT</t>
    </r>
  </si>
  <si>
    <r>
      <rPr>
        <rFont val="Yu Gothic"/>
        <color rgb="FF595959"/>
        <sz val="8.0"/>
      </rPr>
      <t>pt</t>
    </r>
    <r>
      <rPr>
        <rFont val="Noto Sans CJK SC"/>
        <color rgb="FF595959"/>
        <sz val="8.0"/>
      </rPr>
      <t>に変換できない賞の分。</t>
    </r>
    <r>
      <rPr>
        <rFont val="Yu Gothic"/>
        <color rgb="FF595959"/>
        <sz val="8.0"/>
      </rPr>
      <t>100%</t>
    </r>
    <r>
      <rPr>
        <rFont val="Noto Sans CJK SC"/>
        <color rgb="FF595959"/>
        <sz val="8.0"/>
      </rPr>
      <t>超の見せ場はここで作る</t>
    </r>
  </si>
  <si>
    <r>
      <rPr>
        <rFont val="Yu Gothic"/>
        <color rgb="FF000000"/>
        <sz val="10.0"/>
      </rPr>
      <t>pt</t>
    </r>
    <r>
      <rPr>
        <rFont val="Noto Sans CJK SC"/>
        <color rgb="FF000000"/>
        <sz val="10.0"/>
      </rPr>
      <t>建て表示</t>
    </r>
    <r>
      <rPr>
        <rFont val="Yu Gothic"/>
        <color rgb="FF000000"/>
        <sz val="10.0"/>
      </rPr>
      <t>PT</t>
    </r>
    <r>
      <rPr>
        <rFont val="Noto Sans CJK SC"/>
        <color rgb="FF000000"/>
        <sz val="10.0"/>
      </rPr>
      <t>（発送限定を除く）</t>
    </r>
  </si>
  <si>
    <r>
      <rPr>
        <rFont val="Yu Gothic"/>
        <color rgb="FF595959"/>
        <sz val="8.0"/>
      </rPr>
      <t>pt</t>
    </r>
    <r>
      <rPr>
        <rFont val="Noto Sans CJK SC"/>
        <color rgb="FF595959"/>
        <sz val="8.0"/>
      </rPr>
      <t>残高になり得る分＝選択制＋</t>
    </r>
    <r>
      <rPr>
        <rFont val="Yu Gothic"/>
        <color rgb="FF595959"/>
        <sz val="8.0"/>
      </rPr>
      <t>pt</t>
    </r>
    <r>
      <rPr>
        <rFont val="Noto Sans CJK SC"/>
        <color rgb="FF595959"/>
        <sz val="8.0"/>
      </rPr>
      <t>限定の表示</t>
    </r>
    <r>
      <rPr>
        <rFont val="Yu Gothic"/>
        <color rgb="FF595959"/>
        <sz val="8.0"/>
      </rPr>
      <t>PT</t>
    </r>
  </si>
  <si>
    <r>
      <rPr>
        <rFont val="Yu Gothic"/>
        <color rgb="FF000000"/>
        <sz val="10.0"/>
      </rPr>
      <t>pt</t>
    </r>
    <r>
      <rPr>
        <rFont val="Noto Sans CJK SC"/>
        <color rgb="FF000000"/>
        <sz val="10.0"/>
      </rPr>
      <t>建て</t>
    </r>
    <r>
      <rPr>
        <rFont val="Yu Gothic"/>
        <color rgb="FF000000"/>
        <sz val="10.0"/>
      </rPr>
      <t>EV</t>
    </r>
    <r>
      <rPr>
        <rFont val="Noto Sans CJK SC"/>
        <color rgb="FF000000"/>
        <sz val="10.0"/>
      </rPr>
      <t>（このガチャ単体）</t>
    </r>
  </si>
  <si>
    <r>
      <rPr>
        <rFont val="Yu Gothic"/>
        <color rgb="FF595959"/>
        <sz val="8.0"/>
      </rPr>
      <t>pt</t>
    </r>
    <r>
      <rPr>
        <rFont val="Noto Sans CJK SC"/>
        <color rgb="FF595959"/>
        <sz val="8.0"/>
      </rPr>
      <t>建て表示</t>
    </r>
    <r>
      <rPr>
        <rFont val="Yu Gothic"/>
        <color rgb="FF595959"/>
        <sz val="8.0"/>
      </rPr>
      <t xml:space="preserve">PT ÷ </t>
    </r>
    <r>
      <rPr>
        <rFont val="Noto Sans CJK SC"/>
        <color rgb="FF595959"/>
        <sz val="8.0"/>
      </rPr>
      <t>総売上。ガチャ単体で</t>
    </r>
    <r>
      <rPr>
        <rFont val="Yu Gothic"/>
        <color rgb="FF595959"/>
        <sz val="8.0"/>
      </rPr>
      <t>pt</t>
    </r>
    <r>
      <rPr>
        <rFont val="Noto Sans CJK SC"/>
        <color rgb="FF595959"/>
        <sz val="8.0"/>
      </rPr>
      <t>として戻り得る割合</t>
    </r>
  </si>
  <si>
    <t>外部付与見込み（売上比）</t>
  </si>
  <si>
    <r>
      <rPr>
        <rFont val="Noto Sans CJK SC"/>
        <color rgb="FF595959"/>
        <sz val="8.0"/>
      </rPr>
      <t>クーポン・紹介</t>
    </r>
    <r>
      <rPr>
        <rFont val="Yu Gothic"/>
        <color rgb="FF595959"/>
        <sz val="8.0"/>
      </rPr>
      <t>pt</t>
    </r>
    <r>
      <rPr>
        <rFont val="Noto Sans CJK SC"/>
        <color rgb="FF595959"/>
        <sz val="8.0"/>
      </rPr>
      <t>・レベル報酬など、ガチャ外で配る</t>
    </r>
    <r>
      <rPr>
        <rFont val="Yu Gothic"/>
        <color rgb="FF595959"/>
        <sz val="8.0"/>
      </rPr>
      <t>pt</t>
    </r>
    <r>
      <rPr>
        <rFont val="Noto Sans CJK SC"/>
        <color rgb="FF595959"/>
        <sz val="8.0"/>
      </rPr>
      <t>の売上比。迷ったら</t>
    </r>
    <r>
      <rPr>
        <rFont val="Yu Gothic"/>
        <color rgb="FF595959"/>
        <sz val="8.0"/>
      </rPr>
      <t>2%</t>
    </r>
    <r>
      <rPr>
        <rFont val="Noto Sans CJK SC"/>
        <color rgb="FF595959"/>
        <sz val="8.0"/>
      </rPr>
      <t>のまま。キャンペーン強化月は上げる</t>
    </r>
  </si>
  <si>
    <r>
      <rPr>
        <rFont val="Noto Sans CJK SC"/>
        <b/>
        <color rgb="FF000000"/>
        <sz val="10.0"/>
      </rPr>
      <t>★ 実効</t>
    </r>
    <r>
      <rPr>
        <rFont val="Yu Gothic"/>
        <b/>
        <color rgb="FF000000"/>
        <sz val="10.0"/>
      </rPr>
      <t>pt</t>
    </r>
    <r>
      <rPr>
        <rFont val="Noto Sans CJK SC"/>
        <b/>
        <color rgb="FF000000"/>
        <sz val="10.0"/>
      </rPr>
      <t>建て</t>
    </r>
    <r>
      <rPr>
        <rFont val="Yu Gothic"/>
        <b/>
        <color rgb="FF000000"/>
        <sz val="10.0"/>
      </rPr>
      <t>EV</t>
    </r>
    <r>
      <rPr>
        <rFont val="Noto Sans CJK SC"/>
        <b/>
        <color rgb="FF000000"/>
        <sz val="10.0"/>
      </rPr>
      <t>（単体＋外部付与）</t>
    </r>
  </si>
  <si>
    <r>
      <rPr>
        <rFont val="Noto Sans CJK SC"/>
        <color rgb="FF595959"/>
        <sz val="8.0"/>
      </rPr>
      <t>末広がり事案の主因。</t>
    </r>
    <r>
      <rPr>
        <rFont val="Yu Gothic"/>
        <color rgb="FF595959"/>
        <sz val="8.0"/>
      </rPr>
      <t>NG</t>
    </r>
    <r>
      <rPr>
        <rFont val="Noto Sans CJK SC"/>
        <color rgb="FF595959"/>
        <sz val="8.0"/>
      </rPr>
      <t>なら①発送限定に賞を移す ②</t>
    </r>
    <r>
      <rPr>
        <rFont val="Yu Gothic"/>
        <color rgb="FF595959"/>
        <sz val="8.0"/>
      </rPr>
      <t>4</t>
    </r>
    <r>
      <rPr>
        <rFont val="Noto Sans CJK SC"/>
        <color rgb="FF595959"/>
        <sz val="8.0"/>
      </rPr>
      <t>等など</t>
    </r>
    <r>
      <rPr>
        <rFont val="Yu Gothic"/>
        <color rgb="FF595959"/>
        <sz val="8.0"/>
      </rPr>
      <t>pt</t>
    </r>
    <r>
      <rPr>
        <rFont val="Noto Sans CJK SC"/>
        <color rgb="FF595959"/>
        <sz val="8.0"/>
      </rPr>
      <t>側の表示</t>
    </r>
    <r>
      <rPr>
        <rFont val="Yu Gothic"/>
        <color rgb="FF595959"/>
        <sz val="8.0"/>
      </rPr>
      <t>PT</t>
    </r>
    <r>
      <rPr>
        <rFont val="Noto Sans CJK SC"/>
        <color rgb="FF595959"/>
        <sz val="8.0"/>
      </rPr>
      <t>を削る ③単価</t>
    </r>
    <r>
      <rPr>
        <rFont val="Yu Gothic"/>
        <color rgb="FF595959"/>
        <sz val="8.0"/>
      </rPr>
      <t>/</t>
    </r>
    <r>
      <rPr>
        <rFont val="Noto Sans CJK SC"/>
        <color rgb="FF595959"/>
        <sz val="8.0"/>
      </rPr>
      <t>口数を見直す</t>
    </r>
  </si>
  <si>
    <r>
      <rPr>
        <rFont val="Noto Sans CJK SC"/>
        <color rgb="FF000000"/>
        <sz val="10.0"/>
      </rPr>
      <t>実効</t>
    </r>
    <r>
      <rPr>
        <rFont val="Yu Gothic"/>
        <color rgb="FF000000"/>
        <sz val="10.0"/>
      </rPr>
      <t>EV</t>
    </r>
    <r>
      <rPr>
        <rFont val="Noto Sans CJK SC"/>
        <color rgb="FF000000"/>
        <sz val="10.0"/>
      </rPr>
      <t>の安全上限（社内ルール）</t>
    </r>
  </si>
  <si>
    <r>
      <rPr>
        <rFont val="Noto Sans CJK SC"/>
        <color rgb="FF595959"/>
        <sz val="8.0"/>
      </rPr>
      <t>実効</t>
    </r>
    <r>
      <rPr>
        <rFont val="Yu Gothic"/>
        <color rgb="FF595959"/>
        <sz val="8.0"/>
      </rPr>
      <t>EV</t>
    </r>
    <r>
      <rPr>
        <rFont val="Noto Sans CJK SC"/>
        <color rgb="FF595959"/>
        <sz val="8.0"/>
      </rPr>
      <t>がこの値以上で注意。既定</t>
    </r>
    <r>
      <rPr>
        <rFont val="Yu Gothic"/>
        <color rgb="FF595959"/>
        <sz val="8.0"/>
      </rPr>
      <t>95%</t>
    </r>
    <r>
      <rPr>
        <rFont val="Noto Sans CJK SC"/>
        <color rgb="FF595959"/>
        <sz val="8.0"/>
      </rPr>
      <t>＝実装誤差・外部施策のブレを吸収するマージン</t>
    </r>
  </si>
  <si>
    <t>発送限定分の還元率（見せ場分）</t>
  </si>
  <si>
    <t>総還元率のうち、発送でしか受け取れない分</t>
  </si>
  <si>
    <t>データ完全性（入力漏れ・在庫）</t>
  </si>
  <si>
    <t>基本情報の必須欄</t>
  </si>
  <si>
    <r>
      <rPr>
        <rFont val="Noto Sans CJK SC"/>
        <color rgb="FF595959"/>
        <sz val="8.0"/>
      </rPr>
      <t>単価・総口数・</t>
    </r>
    <r>
      <rPr>
        <rFont val="Yu Gothic"/>
        <color rgb="FF595959"/>
        <sz val="8.0"/>
      </rPr>
      <t>pt</t>
    </r>
    <r>
      <rPr>
        <rFont val="Noto Sans CJK SC"/>
        <color rgb="FF595959"/>
        <sz val="8.0"/>
      </rPr>
      <t>実質原価率の</t>
    </r>
    <r>
      <rPr>
        <rFont val="Yu Gothic"/>
        <color rgb="FF595959"/>
        <sz val="8.0"/>
      </rPr>
      <t>3</t>
    </r>
    <r>
      <rPr>
        <rFont val="Noto Sans CJK SC"/>
        <color rgb="FF595959"/>
        <sz val="8.0"/>
      </rPr>
      <t>つ。原価率は割合（</t>
    </r>
    <r>
      <rPr>
        <rFont val="Yu Gothic"/>
        <color rgb="FF595959"/>
        <sz val="8.0"/>
      </rPr>
      <t>0.72</t>
    </r>
    <r>
      <rPr>
        <rFont val="Noto Sans CJK SC"/>
        <color rgb="FF595959"/>
        <sz val="8.0"/>
      </rPr>
      <t>）で入れる。</t>
    </r>
    <r>
      <rPr>
        <rFont val="Yu Gothic"/>
        <color rgb="FF595959"/>
        <sz val="8.0"/>
      </rPr>
      <t>72</t>
    </r>
    <r>
      <rPr>
        <rFont val="Noto Sans CJK SC"/>
        <color rgb="FF595959"/>
        <sz val="8.0"/>
      </rPr>
      <t>と入れると判定が壊れるので</t>
    </r>
    <r>
      <rPr>
        <rFont val="Yu Gothic"/>
        <color rgb="FF595959"/>
        <sz val="8.0"/>
      </rPr>
      <t>NG</t>
    </r>
    <r>
      <rPr>
        <rFont val="Noto Sans CJK SC"/>
        <color rgb="FF595959"/>
        <sz val="8.0"/>
      </rPr>
      <t>にする</t>
    </r>
  </si>
  <si>
    <t>受取方法が未設定の行</t>
  </si>
  <si>
    <r>
      <rPr>
        <rFont val="Noto Sans CJK SC"/>
        <color rgb="FF595959"/>
        <sz val="8.0"/>
      </rPr>
      <t>空欄のままだと</t>
    </r>
    <r>
      <rPr>
        <rFont val="Yu Gothic"/>
        <color rgb="FF595959"/>
        <sz val="8.0"/>
      </rPr>
      <t>EV</t>
    </r>
    <r>
      <rPr>
        <rFont val="Noto Sans CJK SC"/>
        <color rgb="FF595959"/>
        <sz val="8.0"/>
      </rPr>
      <t>・損益の集計から漏れて判定が甘くなるため</t>
    </r>
    <r>
      <rPr>
        <rFont val="Yu Gothic"/>
        <color rgb="FF595959"/>
        <sz val="8.0"/>
      </rPr>
      <t>NG</t>
    </r>
  </si>
  <si>
    <r>
      <rPr>
        <rFont val="Noto Sans CJK SC"/>
        <color rgb="FF000000"/>
        <sz val="10.0"/>
      </rPr>
      <t>表示</t>
    </r>
    <r>
      <rPr>
        <rFont val="Yu Gothic"/>
        <color rgb="FF000000"/>
        <sz val="10.0"/>
      </rPr>
      <t>PT/</t>
    </r>
    <r>
      <rPr>
        <rFont val="Noto Sans CJK SC"/>
        <color rgb="FF000000"/>
        <sz val="10.0"/>
      </rPr>
      <t>枚が確定しない行</t>
    </r>
  </si>
  <si>
    <r>
      <rPr>
        <rFont val="Noto Sans CJK SC"/>
        <color rgb="FF595959"/>
        <sz val="8.0"/>
      </rPr>
      <t>倍率も直接指定も空だと表示</t>
    </r>
    <r>
      <rPr>
        <rFont val="Yu Gothic"/>
        <color rgb="FF595959"/>
        <sz val="8.0"/>
      </rPr>
      <t>PT</t>
    </r>
    <r>
      <rPr>
        <rFont val="Noto Sans CJK SC"/>
        <color rgb="FF595959"/>
        <sz val="8.0"/>
      </rPr>
      <t>が計算できず、</t>
    </r>
    <r>
      <rPr>
        <rFont val="Yu Gothic"/>
        <color rgb="FF595959"/>
        <sz val="8.0"/>
      </rPr>
      <t>EV</t>
    </r>
    <r>
      <rPr>
        <rFont val="Noto Sans CJK SC"/>
        <color rgb="FF595959"/>
        <sz val="8.0"/>
      </rPr>
      <t>が過小評価される（危険側）ため</t>
    </r>
    <r>
      <rPr>
        <rFont val="Yu Gothic"/>
        <color rgb="FF595959"/>
        <sz val="8.0"/>
      </rPr>
      <t>NG</t>
    </r>
  </si>
  <si>
    <r>
      <rPr>
        <rFont val="Noto Sans CJK SC"/>
        <color rgb="FF000000"/>
        <sz val="10.0"/>
      </rPr>
      <t>実価値</t>
    </r>
    <r>
      <rPr>
        <rFont val="Yu Gothic"/>
        <color rgb="FF000000"/>
        <sz val="10.0"/>
      </rPr>
      <t>/</t>
    </r>
    <r>
      <rPr>
        <rFont val="Noto Sans CJK SC"/>
        <color rgb="FF000000"/>
        <sz val="10.0"/>
      </rPr>
      <t>送料が未入力の行（</t>
    </r>
    <r>
      <rPr>
        <rFont val="Yu Gothic"/>
        <color rgb="FF000000"/>
        <sz val="10.0"/>
      </rPr>
      <t>pt</t>
    </r>
    <r>
      <rPr>
        <rFont val="Noto Sans CJK SC"/>
        <color rgb="FF000000"/>
        <sz val="10.0"/>
      </rPr>
      <t>限定以外）</t>
    </r>
  </si>
  <si>
    <r>
      <rPr>
        <rFont val="Noto Sans CJK SC"/>
        <color rgb="FF595959"/>
        <sz val="8.0"/>
      </rPr>
      <t>空欄だと損益シナリオが甘く出る。</t>
    </r>
    <r>
      <rPr>
        <rFont val="Yu Gothic"/>
        <color rgb="FF595959"/>
        <sz val="8.0"/>
      </rPr>
      <t>0</t>
    </r>
    <r>
      <rPr>
        <rFont val="Noto Sans CJK SC"/>
        <color rgb="FF595959"/>
        <sz val="8.0"/>
      </rPr>
      <t>円なら明示的に</t>
    </r>
    <r>
      <rPr>
        <rFont val="Yu Gothic"/>
        <color rgb="FF595959"/>
        <sz val="8.0"/>
      </rPr>
      <t>0</t>
    </r>
    <r>
      <rPr>
        <rFont val="Noto Sans CJK SC"/>
        <color rgb="FF595959"/>
        <sz val="8.0"/>
      </rPr>
      <t>を入力</t>
    </r>
  </si>
  <si>
    <t>確保在庫が口数に足りない行</t>
  </si>
  <si>
    <r>
      <rPr>
        <rFont val="Noto Sans CJK SC"/>
        <color rgb="FF595959"/>
        <sz val="8.0"/>
      </rPr>
      <t>設計入力</t>
    </r>
    <r>
      <rPr>
        <rFont val="Yu Gothic"/>
        <color rgb="FF595959"/>
        <sz val="8.0"/>
      </rPr>
      <t>N</t>
    </r>
    <r>
      <rPr>
        <rFont val="Noto Sans CJK SC"/>
        <color rgb="FF595959"/>
        <sz val="8.0"/>
      </rPr>
      <t>列に確保在庫を入れた行だけチェック。空欄の行は対象外</t>
    </r>
  </si>
  <si>
    <t>損益シナリオ（完売時）</t>
  </si>
  <si>
    <t>発送可能賞の実価値＋送料合計</t>
  </si>
  <si>
    <r>
      <rPr>
        <rFont val="Noto Sans CJK SC"/>
        <color rgb="FF595959"/>
        <sz val="8.0"/>
      </rPr>
      <t>発送限定＋選択制の（実価値小計＋口数</t>
    </r>
    <r>
      <rPr>
        <rFont val="Yu Gothic"/>
        <color rgb="FF595959"/>
        <sz val="8.0"/>
      </rPr>
      <t>×</t>
    </r>
    <r>
      <rPr>
        <rFont val="Noto Sans CJK SC"/>
        <color rgb="FF595959"/>
        <sz val="8.0"/>
      </rPr>
      <t>送料）</t>
    </r>
  </si>
  <si>
    <t xml:space="preserve">　うち発送限定のみ</t>
  </si>
  <si>
    <t>必ず発送になる分の実費</t>
  </si>
  <si>
    <r>
      <rPr>
        <rFont val="Yu Gothic"/>
        <color rgb="FF000000"/>
        <sz val="10.0"/>
      </rPr>
      <t>pt</t>
    </r>
    <r>
      <rPr>
        <rFont val="Noto Sans CJK SC"/>
        <color rgb="FF000000"/>
        <sz val="10.0"/>
      </rPr>
      <t>限定の表示</t>
    </r>
    <r>
      <rPr>
        <rFont val="Yu Gothic"/>
        <color rgb="FF000000"/>
        <sz val="10.0"/>
      </rPr>
      <t>PT</t>
    </r>
    <r>
      <rPr>
        <rFont val="Noto Sans CJK SC"/>
        <color rgb="FF000000"/>
        <sz val="10.0"/>
      </rPr>
      <t>（最低保証等）</t>
    </r>
  </si>
  <si>
    <r>
      <rPr>
        <rFont val="Noto Sans CJK SC"/>
        <color rgb="FF595959"/>
        <sz val="8.0"/>
      </rPr>
      <t>必ず</t>
    </r>
    <r>
      <rPr>
        <rFont val="Yu Gothic"/>
        <color rgb="FF595959"/>
        <sz val="8.0"/>
      </rPr>
      <t>pt</t>
    </r>
    <r>
      <rPr>
        <rFont val="Noto Sans CJK SC"/>
        <color rgb="FF595959"/>
        <sz val="8.0"/>
      </rPr>
      <t>で付与される分</t>
    </r>
  </si>
  <si>
    <r>
      <rPr>
        <rFont val="Noto Sans CJK SC"/>
        <color rgb="FF000000"/>
        <sz val="10.0"/>
      </rPr>
      <t>選択制の表示</t>
    </r>
    <r>
      <rPr>
        <rFont val="Yu Gothic"/>
        <color rgb="FF000000"/>
        <sz val="10.0"/>
      </rPr>
      <t>PT</t>
    </r>
  </si>
  <si>
    <r>
      <rPr>
        <rFont val="Noto Sans CJK SC"/>
        <color rgb="FF595959"/>
        <sz val="8.0"/>
      </rPr>
      <t>お客様が発送か</t>
    </r>
    <r>
      <rPr>
        <rFont val="Yu Gothic"/>
        <color rgb="FF595959"/>
        <sz val="8.0"/>
      </rPr>
      <t>pt</t>
    </r>
    <r>
      <rPr>
        <rFont val="Noto Sans CJK SC"/>
        <color rgb="FF595959"/>
        <sz val="8.0"/>
      </rPr>
      <t>変換かを選べる分の額面</t>
    </r>
  </si>
  <si>
    <t>選択制の実価値＋送料</t>
  </si>
  <si>
    <t>選択制を全部発送した場合の実費</t>
  </si>
  <si>
    <r>
      <rPr>
        <rFont val="Yu Gothic"/>
        <b/>
        <color rgb="FF000000"/>
        <sz val="10.0"/>
      </rPr>
      <t>S1</t>
    </r>
    <r>
      <rPr>
        <rFont val="Noto Sans CJK SC"/>
        <b/>
        <color rgb="FF000000"/>
        <sz val="10.0"/>
      </rPr>
      <t>：全員が発送を選択</t>
    </r>
  </si>
  <si>
    <r>
      <rPr>
        <rFont val="Noto Sans CJK SC"/>
        <color rgb="FF595959"/>
        <sz val="8.0"/>
      </rPr>
      <t>物販として最悪のケース。売上 −（発送実費）−（</t>
    </r>
    <r>
      <rPr>
        <rFont val="Yu Gothic"/>
        <color rgb="FF595959"/>
        <sz val="8.0"/>
      </rPr>
      <t>pt</t>
    </r>
    <r>
      <rPr>
        <rFont val="Noto Sans CJK SC"/>
        <color rgb="FF595959"/>
        <sz val="8.0"/>
      </rPr>
      <t>限定</t>
    </r>
    <r>
      <rPr>
        <rFont val="Yu Gothic"/>
        <color rgb="FF595959"/>
        <sz val="8.0"/>
      </rPr>
      <t>×</t>
    </r>
    <r>
      <rPr>
        <rFont val="Noto Sans CJK SC"/>
        <color rgb="FF595959"/>
        <sz val="8.0"/>
      </rPr>
      <t>原価率）</t>
    </r>
  </si>
  <si>
    <r>
      <rPr>
        <rFont val="Yu Gothic"/>
        <b/>
        <color rgb="FF000000"/>
        <sz val="10.0"/>
      </rPr>
      <t>S2</t>
    </r>
    <r>
      <rPr>
        <rFont val="Noto Sans CJK SC"/>
        <b/>
        <color rgb="FF000000"/>
        <sz val="10.0"/>
      </rPr>
      <t>：全員が</t>
    </r>
    <r>
      <rPr>
        <rFont val="Yu Gothic"/>
        <b/>
        <color rgb="FF000000"/>
        <sz val="10.0"/>
      </rPr>
      <t>pt</t>
    </r>
    <r>
      <rPr>
        <rFont val="Noto Sans CJK SC"/>
        <b/>
        <color rgb="FF000000"/>
        <sz val="10.0"/>
      </rPr>
      <t>変換（額面＝最悪ケース）</t>
    </r>
  </si>
  <si>
    <r>
      <rPr>
        <rFont val="Noto Sans CJK SC"/>
        <color rgb="FF595959"/>
        <sz val="8.0"/>
      </rPr>
      <t>付与</t>
    </r>
    <r>
      <rPr>
        <rFont val="Yu Gothic"/>
        <color rgb="FF595959"/>
        <sz val="8.0"/>
      </rPr>
      <t>pt</t>
    </r>
    <r>
      <rPr>
        <rFont val="Noto Sans CJK SC"/>
        <color rgb="FF595959"/>
        <sz val="8.0"/>
      </rPr>
      <t>を</t>
    </r>
    <r>
      <rPr>
        <rFont val="Yu Gothic"/>
        <color rgb="FF595959"/>
        <sz val="8.0"/>
      </rPr>
      <t>1pt=1</t>
    </r>
    <r>
      <rPr>
        <rFont val="Noto Sans CJK SC"/>
        <color rgb="FF595959"/>
        <sz val="8.0"/>
      </rPr>
      <t>円の負債とみなす会計上の最悪ケース</t>
    </r>
  </si>
  <si>
    <r>
      <rPr>
        <rFont val="Yu Gothic"/>
        <b/>
        <color rgb="FF000000"/>
        <sz val="10.0"/>
      </rPr>
      <t>S3</t>
    </r>
    <r>
      <rPr>
        <rFont val="Noto Sans CJK SC"/>
        <b/>
        <color rgb="FF000000"/>
        <sz val="10.0"/>
      </rPr>
      <t>：全員が</t>
    </r>
    <r>
      <rPr>
        <rFont val="Yu Gothic"/>
        <b/>
        <color rgb="FF000000"/>
        <sz val="10.0"/>
      </rPr>
      <t>pt</t>
    </r>
    <r>
      <rPr>
        <rFont val="Noto Sans CJK SC"/>
        <b/>
        <color rgb="FF000000"/>
        <sz val="10.0"/>
      </rPr>
      <t>変換（実質原価評価）</t>
    </r>
  </si>
  <si>
    <r>
      <rPr>
        <rFont val="Noto Sans CJK SC"/>
        <color rgb="FF595959"/>
        <sz val="8.0"/>
      </rPr>
      <t>付与</t>
    </r>
    <r>
      <rPr>
        <rFont val="Yu Gothic"/>
        <color rgb="FF595959"/>
        <sz val="8.0"/>
      </rPr>
      <t>pt</t>
    </r>
    <r>
      <rPr>
        <rFont val="Noto Sans CJK SC"/>
        <color rgb="FF595959"/>
        <sz val="8.0"/>
      </rPr>
      <t>を実質原価（既定</t>
    </r>
    <r>
      <rPr>
        <rFont val="Yu Gothic"/>
        <color rgb="FF595959"/>
        <sz val="8.0"/>
      </rPr>
      <t>0.72</t>
    </r>
    <r>
      <rPr>
        <rFont val="Noto Sans CJK SC"/>
        <color rgb="FF595959"/>
        <sz val="8.0"/>
      </rPr>
      <t>円</t>
    </r>
    <r>
      <rPr>
        <rFont val="Yu Gothic"/>
        <color rgb="FF595959"/>
        <sz val="8.0"/>
      </rPr>
      <t>/pt</t>
    </r>
    <r>
      <rPr>
        <rFont val="Noto Sans CJK SC"/>
        <color rgb="FF595959"/>
        <sz val="8.0"/>
      </rPr>
      <t>）で評価した現実的ケース</t>
    </r>
  </si>
  <si>
    <r>
      <rPr>
        <rFont val="Noto Sans CJK SC"/>
        <color rgb="FF000000"/>
        <sz val="10.0"/>
      </rPr>
      <t>実測変換率（運用開始後に更新・初期値</t>
    </r>
    <r>
      <rPr>
        <rFont val="Yu Gothic"/>
        <color rgb="FF000000"/>
        <sz val="10.0"/>
      </rPr>
      <t>0.9</t>
    </r>
    <r>
      <rPr>
        <rFont val="Noto Sans CJK SC"/>
        <color rgb="FF000000"/>
        <sz val="10.0"/>
      </rPr>
      <t>）</t>
    </r>
  </si>
  <si>
    <r>
      <rPr>
        <rFont val="Noto Sans CJK SC"/>
        <color rgb="FF595959"/>
        <sz val="8.0"/>
      </rPr>
      <t>実際に</t>
    </r>
    <r>
      <rPr>
        <rFont val="Yu Gothic"/>
        <color rgb="FF595959"/>
        <sz val="8.0"/>
      </rPr>
      <t>pt</t>
    </r>
    <r>
      <rPr>
        <rFont val="Noto Sans CJK SC"/>
        <color rgb="FF595959"/>
        <sz val="8.0"/>
      </rPr>
      <t>変換を選んだ割合。運用データが出たらここを更新</t>
    </r>
  </si>
  <si>
    <r>
      <rPr>
        <rFont val="Yu Gothic"/>
        <b/>
        <color rgb="FF000000"/>
        <sz val="10.0"/>
      </rPr>
      <t>S4</t>
    </r>
    <r>
      <rPr>
        <rFont val="Noto Sans CJK SC"/>
        <b/>
        <color rgb="FF000000"/>
        <sz val="10.0"/>
      </rPr>
      <t>：実測変換率での損益</t>
    </r>
  </si>
  <si>
    <r>
      <rPr>
        <rFont val="Noto Sans CJK SC"/>
        <color rgb="FF595959"/>
        <sz val="8.0"/>
      </rPr>
      <t>実測に基づく着地見込み。</t>
    </r>
    <r>
      <rPr>
        <rFont val="Yu Gothic"/>
        <color rgb="FF595959"/>
        <sz val="8.0"/>
      </rPr>
      <t>S1</t>
    </r>
    <r>
      <rPr>
        <rFont val="Noto Sans CJK SC"/>
        <color rgb="FF595959"/>
        <sz val="8.0"/>
      </rPr>
      <t>〜</t>
    </r>
    <r>
      <rPr>
        <rFont val="Yu Gothic"/>
        <color rgb="FF595959"/>
        <sz val="8.0"/>
      </rPr>
      <t>S3</t>
    </r>
    <r>
      <rPr>
        <rFont val="Noto Sans CJK SC"/>
        <color rgb="FF595959"/>
        <sz val="8.0"/>
      </rPr>
      <t>の間に収まるのが普通</t>
    </r>
  </si>
  <si>
    <r>
      <rPr>
        <rFont val="Noto Sans CJK SC"/>
        <color rgb="FF000000"/>
        <sz val="10.0"/>
      </rPr>
      <t>最大損失（</t>
    </r>
    <r>
      <rPr>
        <rFont val="Yu Gothic"/>
        <color rgb="FF000000"/>
        <sz val="10.0"/>
      </rPr>
      <t>S1</t>
    </r>
    <r>
      <rPr>
        <rFont val="Noto Sans CJK SC"/>
        <color rgb="FF000000"/>
        <sz val="10.0"/>
      </rPr>
      <t>〜</t>
    </r>
    <r>
      <rPr>
        <rFont val="Yu Gothic"/>
        <color rgb="FF000000"/>
        <sz val="10.0"/>
      </rPr>
      <t>S3</t>
    </r>
    <r>
      <rPr>
        <rFont val="Noto Sans CJK SC"/>
        <color rgb="FF000000"/>
        <sz val="10.0"/>
      </rPr>
      <t>のいちばん悪い値）</t>
    </r>
  </si>
  <si>
    <t>どのシナリオでも、ここまでしか損しないという下限</t>
  </si>
  <si>
    <t>許容損失ライン（マイナスで入力）</t>
  </si>
  <si>
    <t>会社として耐えられる赤字の下限。超えるなら設計を縮小するか役員承認を取る</t>
  </si>
  <si>
    <r>
      <rPr>
        <rFont val="Noto Sans CJK SC"/>
        <b/>
        <color rgb="FF000000"/>
        <sz val="10.0"/>
      </rPr>
      <t xml:space="preserve">途中終了リスク（売れ止まり </t>
    </r>
    <r>
      <rPr>
        <rFont val="Yu Gothic"/>
        <b/>
        <color rgb="FF000000"/>
        <sz val="10.0"/>
      </rPr>
      <t xml:space="preserve">× </t>
    </r>
    <r>
      <rPr>
        <rFont val="Noto Sans CJK SC"/>
        <b/>
        <color rgb="FF000000"/>
        <sz val="10.0"/>
      </rPr>
      <t>上位賞先出し・保守評価）</t>
    </r>
  </si>
  <si>
    <r>
      <rPr>
        <rFont val="Noto Sans CJK SC"/>
        <color rgb="FF000000"/>
        <sz val="10.0"/>
      </rPr>
      <t>上位賞（</t>
    </r>
    <r>
      <rPr>
        <rFont val="Yu Gothic"/>
        <color rgb="FF000000"/>
        <sz val="10.0"/>
      </rPr>
      <t>pt</t>
    </r>
    <r>
      <rPr>
        <rFont val="Noto Sans CJK SC"/>
        <color rgb="FF000000"/>
        <sz val="10.0"/>
      </rPr>
      <t>限定以外）の口数</t>
    </r>
  </si>
  <si>
    <r>
      <rPr>
        <rFont val="Yu Gothic"/>
        <color rgb="FF595959"/>
        <sz val="8.0"/>
      </rPr>
      <t>1</t>
    </r>
    <r>
      <rPr>
        <rFont val="Noto Sans CJK SC"/>
        <color rgb="FF595959"/>
        <sz val="8.0"/>
      </rPr>
      <t>等〜下位賞まで、保証以外の口数合計</t>
    </r>
  </si>
  <si>
    <t>上位賞の最悪費用（額面）</t>
  </si>
  <si>
    <r>
      <rPr>
        <rFont val="Noto Sans CJK SC"/>
        <color rgb="FF595959"/>
        <sz val="8.0"/>
      </rPr>
      <t>上位賞が全部出た場合のコスト。選択制は「実費」と「額面</t>
    </r>
    <r>
      <rPr>
        <rFont val="Yu Gothic"/>
        <color rgb="FF595959"/>
        <sz val="8.0"/>
      </rPr>
      <t>pt</t>
    </r>
    <r>
      <rPr>
        <rFont val="Noto Sans CJK SC"/>
        <color rgb="FF595959"/>
        <sz val="8.0"/>
      </rPr>
      <t>」の高い方で見る保守評価</t>
    </r>
  </si>
  <si>
    <t>回収に必要な売上進捗率</t>
  </si>
  <si>
    <r>
      <rPr>
        <rFont val="Noto Sans CJK SC"/>
        <color rgb="FF595959"/>
        <sz val="8.0"/>
      </rPr>
      <t>これ以上売れた時点なら、上位賞が全部先に出ても赤字なし（保証分は僅少のため除いた概算）。</t>
    </r>
    <r>
      <rPr>
        <rFont val="Yu Gothic"/>
        <color rgb="FF595959"/>
        <sz val="8.0"/>
      </rPr>
      <t>100%</t>
    </r>
    <r>
      <rPr>
        <rFont val="Noto Sans CJK SC"/>
        <color rgb="FF595959"/>
        <sz val="8.0"/>
      </rPr>
      <t>超＝完売でも額面最悪は赤字（</t>
    </r>
    <r>
      <rPr>
        <rFont val="Yu Gothic"/>
        <color rgb="FF595959"/>
        <sz val="8.0"/>
      </rPr>
      <t>S2</t>
    </r>
    <r>
      <rPr>
        <rFont val="Noto Sans CJK SC"/>
        <color rgb="FF595959"/>
        <sz val="8.0"/>
      </rPr>
      <t>参照）</t>
    </r>
  </si>
  <si>
    <t>想定進捗率（売れ止まりの想定・入力）</t>
  </si>
  <si>
    <r>
      <rPr>
        <rFont val="Noto Sans CJK SC"/>
        <color rgb="FF595959"/>
        <sz val="8.0"/>
      </rPr>
      <t>「ここまでしか売れなかったら」の想定。迷ったら</t>
    </r>
    <r>
      <rPr>
        <rFont val="Yu Gothic"/>
        <color rgb="FF595959"/>
        <sz val="8.0"/>
      </rPr>
      <t>30%</t>
    </r>
    <r>
      <rPr>
        <rFont val="Noto Sans CJK SC"/>
        <color rgb="FF595959"/>
        <sz val="8.0"/>
      </rPr>
      <t>。オリパは母集団固定なので途中終了時に上位賞が先に出ているのが最悪</t>
    </r>
  </si>
  <si>
    <t>想定進捗での最悪損益（上位賞先出し）</t>
  </si>
  <si>
    <t>進捗にかかわらず上位賞は全放出とみなす保守評価（回収進捗率より下では常に過大側）。売り切る販促計画とセットで判断</t>
  </si>
  <si>
    <t>その他チェック</t>
  </si>
  <si>
    <t>仮名称・デモ名の賞品数</t>
  </si>
  <si>
    <r>
      <rPr>
        <rFont val="Noto Sans CJK SC"/>
        <color rgb="FF595959"/>
        <sz val="8.0"/>
      </rPr>
      <t>検索語：なにか</t>
    </r>
    <r>
      <rPr>
        <rFont val="Yu Gothic"/>
        <color rgb="FF595959"/>
        <sz val="8.0"/>
      </rPr>
      <t>/TBD/</t>
    </r>
    <r>
      <rPr>
        <rFont val="Noto Sans CJK SC"/>
        <color rgb="FF595959"/>
        <sz val="8.0"/>
      </rPr>
      <t>テスト</t>
    </r>
    <r>
      <rPr>
        <rFont val="Yu Gothic"/>
        <color rgb="FF595959"/>
        <sz val="8.0"/>
      </rPr>
      <t>/</t>
    </r>
    <r>
      <rPr>
        <rFont val="Noto Sans CJK SC"/>
        <color rgb="FF595959"/>
        <sz val="8.0"/>
      </rPr>
      <t>仮</t>
    </r>
    <r>
      <rPr>
        <rFont val="Yu Gothic"/>
        <color rgb="FF595959"/>
        <sz val="8.0"/>
      </rPr>
      <t>/</t>
    </r>
    <r>
      <rPr>
        <rFont val="Noto Sans CJK SC"/>
        <color rgb="FF595959"/>
        <sz val="8.0"/>
      </rPr>
      <t>デモ</t>
    </r>
    <r>
      <rPr>
        <rFont val="Yu Gothic"/>
        <color rgb="FF595959"/>
        <sz val="8.0"/>
      </rPr>
      <t>/</t>
    </r>
    <r>
      <rPr>
        <rFont val="Noto Sans CJK SC"/>
        <color rgb="FF595959"/>
        <sz val="8.0"/>
      </rPr>
      <t>サンプル</t>
    </r>
    <r>
      <rPr>
        <rFont val="Yu Gothic"/>
        <color rgb="FF595959"/>
        <sz val="8.0"/>
      </rPr>
      <t>/</t>
    </r>
    <r>
      <rPr>
        <rFont val="Noto Sans CJK SC"/>
        <color rgb="FF595959"/>
        <sz val="8.0"/>
      </rPr>
      <t>ダミー</t>
    </r>
    <r>
      <rPr>
        <rFont val="Yu Gothic"/>
        <color rgb="FF595959"/>
        <sz val="8.0"/>
      </rPr>
      <t>/test</t>
    </r>
    <r>
      <rPr>
        <rFont val="Noto Sans CJK SC"/>
        <color rgb="FF595959"/>
        <sz val="8.0"/>
      </rPr>
      <t>（「仮面」は正規商品名のため除外）。※コンテスト等は「テスト」に誤検知するので名称を工夫</t>
    </r>
  </si>
  <si>
    <r>
      <rPr>
        <rFont val="Yu Gothic"/>
        <color rgb="FF000000"/>
        <sz val="10.0"/>
      </rPr>
      <t>1</t>
    </r>
    <r>
      <rPr>
        <rFont val="Noto Sans CJK SC"/>
        <color rgb="FF000000"/>
        <sz val="10.0"/>
      </rPr>
      <t>人あたり購入上限</t>
    </r>
  </si>
  <si>
    <r>
      <rPr>
        <rFont val="Noto Sans CJK SC"/>
        <color rgb="FF595959"/>
        <sz val="8.0"/>
      </rPr>
      <t>設計入力の「口</t>
    </r>
    <r>
      <rPr>
        <rFont val="Yu Gothic"/>
        <color rgb="FF595959"/>
        <sz val="8.0"/>
      </rPr>
      <t>/</t>
    </r>
    <r>
      <rPr>
        <rFont val="Noto Sans CJK SC"/>
        <color rgb="FF595959"/>
        <sz val="8.0"/>
      </rPr>
      <t>日」「口</t>
    </r>
    <r>
      <rPr>
        <rFont val="Yu Gothic"/>
        <color rgb="FF595959"/>
        <sz val="8.0"/>
      </rPr>
      <t>/</t>
    </r>
    <r>
      <rPr>
        <rFont val="Noto Sans CJK SC"/>
        <color rgb="FF595959"/>
        <sz val="8.0"/>
      </rPr>
      <t>累計」の両方が必須</t>
    </r>
  </si>
  <si>
    <t>■ 総合判定</t>
  </si>
  <si>
    <r>
      <rPr>
        <rFont val="Yu Gothic"/>
        <color rgb="FF595959"/>
        <sz val="8.0"/>
      </rPr>
      <t>NG</t>
    </r>
    <r>
      <rPr>
        <rFont val="Noto Sans CJK SC"/>
        <color rgb="FF595959"/>
        <sz val="8.0"/>
      </rPr>
      <t>が</t>
    </r>
    <r>
      <rPr>
        <rFont val="Yu Gothic"/>
        <color rgb="FF595959"/>
        <sz val="8.0"/>
      </rPr>
      <t>1</t>
    </r>
    <r>
      <rPr>
        <rFont val="Noto Sans CJK SC"/>
        <color rgb="FF595959"/>
        <sz val="8.0"/>
      </rPr>
      <t>つでもあれば公開不可。注意は公開可だが内容を確認して判断</t>
    </r>
  </si>
  <si>
    <t>③ 公開前チェック — バナー表記との突合＋手動確認</t>
  </si>
  <si>
    <r>
      <rPr>
        <rFont val="Noto Sans CJK SC"/>
        <color rgb="FF595959"/>
        <sz val="9.0"/>
      </rPr>
      <t>バナー・</t>
    </r>
    <r>
      <rPr>
        <rFont val="Yu Gothic"/>
        <color rgb="FF595959"/>
        <sz val="9.0"/>
      </rPr>
      <t>LP</t>
    </r>
    <r>
      <rPr>
        <rFont val="Noto Sans CJK SC"/>
        <color rgb="FF595959"/>
        <sz val="9.0"/>
      </rPr>
      <t>・</t>
    </r>
    <r>
      <rPr>
        <rFont val="Yu Gothic"/>
        <color rgb="FF595959"/>
        <sz val="9.0"/>
      </rPr>
      <t>X</t>
    </r>
    <r>
      <rPr>
        <rFont val="Noto Sans CJK SC"/>
        <color rgb="FF595959"/>
        <sz val="9.0"/>
      </rPr>
      <t>告知に書いた数字を</t>
    </r>
    <r>
      <rPr>
        <rFont val="Yu Gothic"/>
        <color rgb="FF595959"/>
        <sz val="9.0"/>
      </rPr>
      <t>B</t>
    </r>
    <r>
      <rPr>
        <rFont val="Noto Sans CJK SC"/>
        <color rgb="FF595959"/>
        <sz val="9.0"/>
      </rPr>
      <t>列に入力すると実装値と自動突合。手動チェックリストも全部埋めると、いちばん下の■公開前総合が</t>
    </r>
    <r>
      <rPr>
        <rFont val="Yu Gothic"/>
        <color rgb="FF595959"/>
        <sz val="9.0"/>
      </rPr>
      <t>OK</t>
    </r>
    <r>
      <rPr>
        <rFont val="Noto Sans CJK SC"/>
        <color rgb="FF595959"/>
        <sz val="9.0"/>
      </rPr>
      <t>になる。</t>
    </r>
  </si>
  <si>
    <t>バナー記載値（入力）</t>
  </si>
  <si>
    <t>実装値（自動）</t>
  </si>
  <si>
    <t>説明</t>
  </si>
  <si>
    <t>総還元率</t>
  </si>
  <si>
    <r>
      <rPr>
        <rFont val="Noto Sans CJK SC"/>
        <color rgb="FF595959"/>
        <sz val="8.0"/>
      </rPr>
      <t>実装 ≧ 表記 なら</t>
    </r>
    <r>
      <rPr>
        <rFont val="Yu Gothic"/>
        <color rgb="FF595959"/>
        <sz val="8.0"/>
      </rPr>
      <t>OK</t>
    </r>
    <r>
      <rPr>
        <rFont val="Noto Sans CJK SC"/>
        <color rgb="FF595959"/>
        <sz val="8.0"/>
      </rPr>
      <t>（</t>
    </r>
    <r>
      <rPr>
        <rFont val="Yu Gothic"/>
        <color rgb="FF595959"/>
        <sz val="8.0"/>
      </rPr>
      <t>0.49pt</t>
    </r>
    <r>
      <rPr>
        <rFont val="Noto Sans CJK SC"/>
        <color rgb="FF595959"/>
        <sz val="8.0"/>
      </rPr>
      <t>の丸め許容）。下回ると景表法の優良誤認リスク</t>
    </r>
  </si>
  <si>
    <r>
      <rPr>
        <rFont val="Noto Sans CJK SC"/>
        <b/>
        <color rgb="FF000000"/>
        <sz val="10.0"/>
      </rPr>
      <t>「</t>
    </r>
    <r>
      <rPr>
        <rFont val="Yu Gothic"/>
        <b/>
        <color rgb="FF000000"/>
        <sz val="10.0"/>
      </rPr>
      <t>Xpt</t>
    </r>
    <r>
      <rPr>
        <rFont val="Noto Sans CJK SC"/>
        <b/>
        <color rgb="FF000000"/>
        <sz val="10.0"/>
      </rPr>
      <t>以上が</t>
    </r>
    <r>
      <rPr>
        <rFont val="Yu Gothic"/>
        <b/>
        <color rgb="FF000000"/>
        <sz val="10.0"/>
      </rPr>
      <t>1/Y</t>
    </r>
    <r>
      <rPr>
        <rFont val="Noto Sans CJK SC"/>
        <b/>
        <color rgb="FF000000"/>
        <sz val="10.0"/>
      </rPr>
      <t xml:space="preserve">」の </t>
    </r>
    <r>
      <rPr>
        <rFont val="Yu Gothic"/>
        <b/>
        <color rgb="FF000000"/>
        <sz val="10.0"/>
      </rPr>
      <t>X</t>
    </r>
    <r>
      <rPr>
        <rFont val="Noto Sans CJK SC"/>
        <b/>
        <color rgb="FF000000"/>
        <sz val="10.0"/>
      </rPr>
      <t>（</t>
    </r>
    <r>
      <rPr>
        <rFont val="Yu Gothic"/>
        <b/>
        <color rgb="FF000000"/>
        <sz val="10.0"/>
      </rPr>
      <t>pt</t>
    </r>
    <r>
      <rPr>
        <rFont val="Noto Sans CJK SC"/>
        <b/>
        <color rgb="FF000000"/>
        <sz val="10.0"/>
      </rPr>
      <t>）</t>
    </r>
  </si>
  <si>
    <r>
      <rPr>
        <rFont val="Noto Sans CJK SC"/>
        <color rgb="FF595959"/>
        <sz val="8.0"/>
      </rPr>
      <t>実装値＝表示</t>
    </r>
    <r>
      <rPr>
        <rFont val="Yu Gothic"/>
        <color rgb="FF595959"/>
        <sz val="8.0"/>
      </rPr>
      <t>PT</t>
    </r>
    <r>
      <rPr>
        <rFont val="Noto Sans CJK SC"/>
        <color rgb="FF595959"/>
        <sz val="8.0"/>
      </rPr>
      <t>が</t>
    </r>
    <r>
      <rPr>
        <rFont val="Yu Gothic"/>
        <color rgb="FF595959"/>
        <sz val="8.0"/>
      </rPr>
      <t>Xpt</t>
    </r>
    <r>
      <rPr>
        <rFont val="Noto Sans CJK SC"/>
        <color rgb="FF595959"/>
        <sz val="8.0"/>
      </rPr>
      <t>以上の賞の口数合計</t>
    </r>
  </si>
  <si>
    <r>
      <rPr>
        <rFont val="Noto Sans CJK SC"/>
        <b/>
        <color rgb="FF000000"/>
        <sz val="10.0"/>
      </rPr>
      <t xml:space="preserve">同 </t>
    </r>
    <r>
      <rPr>
        <rFont val="Yu Gothic"/>
        <b/>
        <color rgb="FF000000"/>
        <sz val="10.0"/>
      </rPr>
      <t>Y</t>
    </r>
    <r>
      <rPr>
        <rFont val="Noto Sans CJK SC"/>
        <b/>
        <color rgb="FF000000"/>
        <sz val="10.0"/>
      </rPr>
      <t>（</t>
    </r>
    <r>
      <rPr>
        <rFont val="Yu Gothic"/>
        <b/>
        <color rgb="FF000000"/>
        <sz val="10.0"/>
      </rPr>
      <t>1/Y</t>
    </r>
    <r>
      <rPr>
        <rFont val="Noto Sans CJK SC"/>
        <b/>
        <color rgb="FF000000"/>
        <sz val="10.0"/>
      </rPr>
      <t>の分母）</t>
    </r>
  </si>
  <si>
    <r>
      <rPr>
        <rFont val="Noto Sans CJK SC"/>
        <color rgb="FF595959"/>
        <sz val="8.0"/>
      </rPr>
      <t>実装値＝総口数</t>
    </r>
    <r>
      <rPr>
        <rFont val="Yu Gothic"/>
        <color rgb="FF595959"/>
        <sz val="8.0"/>
      </rPr>
      <t>÷</t>
    </r>
    <r>
      <rPr>
        <rFont val="Noto Sans CJK SC"/>
        <color rgb="FF595959"/>
        <sz val="8.0"/>
      </rPr>
      <t>該当口数。バナーの</t>
    </r>
    <r>
      <rPr>
        <rFont val="Yu Gothic"/>
        <color rgb="FF595959"/>
        <sz val="8.0"/>
      </rPr>
      <t>Y</t>
    </r>
    <r>
      <rPr>
        <rFont val="Noto Sans CJK SC"/>
        <color rgb="FF595959"/>
        <sz val="8.0"/>
      </rPr>
      <t>は実装値より大きい数字（不利側）に丸めて書く</t>
    </r>
  </si>
  <si>
    <r>
      <rPr>
        <rFont val="Yu Gothic"/>
        <b/>
        <color rgb="FF000000"/>
        <sz val="10.0"/>
      </rPr>
      <t>2</t>
    </r>
    <r>
      <rPr>
        <rFont val="Noto Sans CJK SC"/>
        <b/>
        <color rgb="FF000000"/>
        <sz val="10.0"/>
      </rPr>
      <t xml:space="preserve">組目の </t>
    </r>
    <r>
      <rPr>
        <rFont val="Yu Gothic"/>
        <b/>
        <color rgb="FF000000"/>
        <sz val="10.0"/>
      </rPr>
      <t>X</t>
    </r>
    <r>
      <rPr>
        <rFont val="Noto Sans CJK SC"/>
        <b/>
        <color rgb="FF000000"/>
        <sz val="10.0"/>
      </rPr>
      <t>（</t>
    </r>
    <r>
      <rPr>
        <rFont val="Yu Gothic"/>
        <b/>
        <color rgb="FF000000"/>
        <sz val="10.0"/>
      </rPr>
      <t>pt</t>
    </r>
    <r>
      <rPr>
        <rFont val="Noto Sans CJK SC"/>
        <b/>
        <color rgb="FF000000"/>
        <sz val="10.0"/>
      </rPr>
      <t>）※任意</t>
    </r>
  </si>
  <si>
    <r>
      <rPr>
        <rFont val="Noto Sans CJK SC"/>
        <color rgb="FF595959"/>
        <sz val="8.0"/>
      </rPr>
      <t>バナーに確率表記が</t>
    </r>
    <r>
      <rPr>
        <rFont val="Yu Gothic"/>
        <color rgb="FF595959"/>
        <sz val="8.0"/>
      </rPr>
      <t>2</t>
    </r>
    <r>
      <rPr>
        <rFont val="Noto Sans CJK SC"/>
        <color rgb="FF595959"/>
        <sz val="8.0"/>
      </rPr>
      <t>段ある場合のみ入力（例：</t>
    </r>
    <r>
      <rPr>
        <rFont val="Yu Gothic"/>
        <color rgb="FF595959"/>
        <sz val="8.0"/>
      </rPr>
      <t>10</t>
    </r>
    <r>
      <rPr>
        <rFont val="Noto Sans CJK SC"/>
        <color rgb="FF595959"/>
        <sz val="8.0"/>
      </rPr>
      <t>万</t>
    </r>
    <r>
      <rPr>
        <rFont val="Yu Gothic"/>
        <color rgb="FF595959"/>
        <sz val="8.0"/>
      </rPr>
      <t>pt</t>
    </r>
    <r>
      <rPr>
        <rFont val="Noto Sans CJK SC"/>
        <color rgb="FF595959"/>
        <sz val="8.0"/>
      </rPr>
      <t>以上と</t>
    </r>
    <r>
      <rPr>
        <rFont val="Yu Gothic"/>
        <color rgb="FF595959"/>
        <sz val="8.0"/>
      </rPr>
      <t>5</t>
    </r>
    <r>
      <rPr>
        <rFont val="Noto Sans CJK SC"/>
        <color rgb="FF595959"/>
        <sz val="8.0"/>
      </rPr>
      <t>万</t>
    </r>
    <r>
      <rPr>
        <rFont val="Yu Gothic"/>
        <color rgb="FF595959"/>
        <sz val="8.0"/>
      </rPr>
      <t>pt</t>
    </r>
    <r>
      <rPr>
        <rFont val="Noto Sans CJK SC"/>
        <color rgb="FF595959"/>
        <sz val="8.0"/>
      </rPr>
      <t>以上）</t>
    </r>
  </si>
  <si>
    <r>
      <rPr>
        <rFont val="Yu Gothic"/>
        <b/>
        <color rgb="FF000000"/>
        <sz val="10.0"/>
      </rPr>
      <t>2</t>
    </r>
    <r>
      <rPr>
        <rFont val="Noto Sans CJK SC"/>
        <b/>
        <color rgb="FF000000"/>
        <sz val="10.0"/>
      </rPr>
      <t xml:space="preserve">組目の </t>
    </r>
    <r>
      <rPr>
        <rFont val="Yu Gothic"/>
        <b/>
        <color rgb="FF000000"/>
        <sz val="10.0"/>
      </rPr>
      <t>Y ※</t>
    </r>
    <r>
      <rPr>
        <rFont val="Noto Sans CJK SC"/>
        <b/>
        <color rgb="FF000000"/>
        <sz val="10.0"/>
      </rPr>
      <t>任意</t>
    </r>
  </si>
  <si>
    <r>
      <rPr>
        <rFont val="Noto Sans CJK SC"/>
        <color rgb="FF595959"/>
        <sz val="8.0"/>
      </rPr>
      <t>使わないなら両方空欄で</t>
    </r>
    <r>
      <rPr>
        <rFont val="Yu Gothic"/>
        <color rgb="FF595959"/>
        <sz val="8.0"/>
      </rPr>
      <t>OK</t>
    </r>
    <r>
      <rPr>
        <rFont val="Noto Sans CJK SC"/>
        <color rgb="FF595959"/>
        <sz val="8.0"/>
      </rPr>
      <t>（グレー表示のまま）</t>
    </r>
  </si>
  <si>
    <r>
      <rPr>
        <rFont val="Noto Sans CJK SC"/>
        <b/>
        <color rgb="FF000000"/>
        <sz val="10.0"/>
      </rPr>
      <t>最低保証（</t>
    </r>
    <r>
      <rPr>
        <rFont val="Yu Gothic"/>
        <b/>
        <color rgb="FF000000"/>
        <sz val="10.0"/>
      </rPr>
      <t>pt</t>
    </r>
    <r>
      <rPr>
        <rFont val="Noto Sans CJK SC"/>
        <b/>
        <color rgb="FF000000"/>
        <sz val="10.0"/>
      </rPr>
      <t>）</t>
    </r>
  </si>
  <si>
    <r>
      <rPr>
        <rFont val="Noto Sans CJK SC"/>
        <color rgb="FF595959"/>
        <sz val="8.0"/>
      </rPr>
      <t>実装値＝表示</t>
    </r>
    <r>
      <rPr>
        <rFont val="Yu Gothic"/>
        <color rgb="FF595959"/>
        <sz val="8.0"/>
      </rPr>
      <t>PT/</t>
    </r>
    <r>
      <rPr>
        <rFont val="Noto Sans CJK SC"/>
        <color rgb="FF595959"/>
        <sz val="8.0"/>
      </rPr>
      <t>枚のいちばん小さい値。バナーの保証額以上なら</t>
    </r>
    <r>
      <rPr>
        <rFont val="Yu Gothic"/>
        <color rgb="FF595959"/>
        <sz val="8.0"/>
      </rPr>
      <t>OK</t>
    </r>
  </si>
  <si>
    <t>手動チェックリスト（全項目に担当・完了日が入るまで公開不可）</t>
  </si>
  <si>
    <t>担当</t>
  </si>
  <si>
    <t>完了日</t>
  </si>
  <si>
    <t>管理画面の実装値とこのシートのスクリーンショット突合</t>
  </si>
  <si>
    <t>齊田先生レビュー（還元率表記・確率表記・規約）</t>
  </si>
  <si>
    <r>
      <rPr>
        <rFont val="Noto Sans CJK SC"/>
        <color rgb="FF000000"/>
        <sz val="10.0"/>
      </rPr>
      <t>テスト抽選（</t>
    </r>
    <r>
      <rPr>
        <rFont val="Yu Gothic"/>
        <color rgb="FF000000"/>
        <sz val="10.0"/>
      </rPr>
      <t>10</t>
    </r>
    <r>
      <rPr>
        <rFont val="Noto Sans CJK SC"/>
        <color rgb="FF000000"/>
        <sz val="10.0"/>
      </rPr>
      <t>回以上・付与</t>
    </r>
    <r>
      <rPr>
        <rFont val="Yu Gothic"/>
        <color rgb="FF000000"/>
        <sz val="10.0"/>
      </rPr>
      <t>pt</t>
    </r>
    <r>
      <rPr>
        <rFont val="Noto Sans CJK SC"/>
        <color rgb="FF000000"/>
        <sz val="10.0"/>
      </rPr>
      <t>と表示の一致確認）</t>
    </r>
  </si>
  <si>
    <r>
      <rPr>
        <rFont val="Yu Gothic"/>
        <color rgb="FF000000"/>
        <sz val="10.0"/>
      </rPr>
      <t>1</t>
    </r>
    <r>
      <rPr>
        <rFont val="Noto Sans CJK SC"/>
        <color rgb="FF000000"/>
        <sz val="10.0"/>
      </rPr>
      <t>人あたり購入上限の実装確認（現金・</t>
    </r>
    <r>
      <rPr>
        <rFont val="Yu Gothic"/>
        <color rgb="FF000000"/>
        <sz val="10.0"/>
      </rPr>
      <t>pt</t>
    </r>
    <r>
      <rPr>
        <rFont val="Noto Sans CJK SC"/>
        <color rgb="FF000000"/>
        <sz val="10.0"/>
      </rPr>
      <t>共通）</t>
    </r>
  </si>
  <si>
    <r>
      <rPr>
        <rFont val="Noto Sans CJK SC"/>
        <color rgb="FF000000"/>
        <sz val="10.0"/>
      </rPr>
      <t>監視アラート設定（現金比率／上位</t>
    </r>
    <r>
      <rPr>
        <rFont val="Yu Gothic"/>
        <color rgb="FF000000"/>
        <sz val="10.0"/>
      </rPr>
      <t>10</t>
    </r>
    <r>
      <rPr>
        <rFont val="Noto Sans CJK SC"/>
        <color rgb="FF000000"/>
        <sz val="10.0"/>
      </rPr>
      <t>口座シェア／払出</t>
    </r>
    <r>
      <rPr>
        <rFont val="Yu Gothic"/>
        <color rgb="FF000000"/>
        <sz val="10.0"/>
      </rPr>
      <t>÷</t>
    </r>
    <r>
      <rPr>
        <rFont val="Noto Sans CJK SC"/>
        <color rgb="FF000000"/>
        <sz val="10.0"/>
      </rPr>
      <t>投入比／秒間抽選数）</t>
    </r>
  </si>
  <si>
    <t>仮名称・プレースホルダー賞品の除去確認</t>
  </si>
  <si>
    <t>設計シート内の旧バージョン・旧メモの削除</t>
  </si>
  <si>
    <t>手動チェックの完了状況</t>
  </si>
  <si>
    <t>担当と完了日の両方が入った行を完了とカウント</t>
  </si>
  <si>
    <t>■ 公開前総合</t>
  </si>
  <si>
    <r>
      <rPr>
        <rFont val="Noto Sans CJK SC"/>
        <color rgb="FF595959"/>
        <sz val="8.0"/>
      </rPr>
      <t>自動判定</t>
    </r>
    <r>
      <rPr>
        <rFont val="Yu Gothic"/>
        <color rgb="FF595959"/>
        <sz val="8.0"/>
      </rPr>
      <t>OK</t>
    </r>
    <r>
      <rPr>
        <rFont val="Noto Sans CJK SC"/>
        <color rgb="FF595959"/>
        <sz val="8.0"/>
      </rPr>
      <t>＋バナー突合</t>
    </r>
    <r>
      <rPr>
        <rFont val="Yu Gothic"/>
        <color rgb="FF595959"/>
        <sz val="8.0"/>
      </rPr>
      <t>OK</t>
    </r>
    <r>
      <rPr>
        <rFont val="Noto Sans CJK SC"/>
        <color rgb="FF595959"/>
        <sz val="8.0"/>
      </rPr>
      <t>＋手動</t>
    </r>
    <r>
      <rPr>
        <rFont val="Yu Gothic"/>
        <color rgb="FF595959"/>
        <sz val="8.0"/>
      </rPr>
      <t>7</t>
    </r>
    <r>
      <rPr>
        <rFont val="Noto Sans CJK SC"/>
        <color rgb="FF595959"/>
        <sz val="8.0"/>
      </rPr>
      <t>項目完了 がそろって初めて</t>
    </r>
    <r>
      <rPr>
        <rFont val="Yu Gothic"/>
        <color rgb="FF595959"/>
        <sz val="8.0"/>
      </rPr>
      <t>OK</t>
    </r>
  </si>
  <si>
    <t>④ 計算式リスト — この表の全計算式＋自分で計算するときの式（数値例はすべてデモの数字）</t>
  </si>
  <si>
    <t>No.</t>
  </si>
  <si>
    <t>どこの数字？</t>
  </si>
  <si>
    <t>名前</t>
  </si>
  <si>
    <t>意味・ことばの式</t>
  </si>
  <si>
    <r>
      <rPr>
        <rFont val="Yu Gothic"/>
        <b/>
        <color rgb="FFFFFFFF"/>
        <sz val="9.0"/>
      </rPr>
      <t>Excel</t>
    </r>
    <r>
      <rPr>
        <rFont val="Noto Sans CJK SC"/>
        <b/>
        <color rgb="FFFFFFFF"/>
        <sz val="9.0"/>
      </rPr>
      <t>の式</t>
    </r>
  </si>
  <si>
    <t>数値例（デモ）</t>
  </si>
  <si>
    <r>
      <rPr>
        <rFont val="Yu Gothic"/>
        <b/>
        <color rgb="FF000000"/>
        <sz val="10.0"/>
      </rPr>
      <t xml:space="preserve">A. </t>
    </r>
    <r>
      <rPr>
        <rFont val="Noto Sans CJK SC"/>
        <b/>
        <color rgb="FF000000"/>
        <sz val="10.0"/>
      </rPr>
      <t>まず覚える</t>
    </r>
    <r>
      <rPr>
        <rFont val="Yu Gothic"/>
        <b/>
        <color rgb="FF000000"/>
        <sz val="10.0"/>
      </rPr>
      <t>3</t>
    </r>
    <r>
      <rPr>
        <rFont val="Noto Sans CJK SC"/>
        <b/>
        <color rgb="FF000000"/>
        <sz val="10.0"/>
      </rPr>
      <t>つの基本式（この</t>
    </r>
    <r>
      <rPr>
        <rFont val="Yu Gothic"/>
        <b/>
        <color rgb="FF000000"/>
        <sz val="10.0"/>
      </rPr>
      <t>3</t>
    </r>
    <r>
      <rPr>
        <rFont val="Noto Sans CJK SC"/>
        <b/>
        <color rgb="FF000000"/>
        <sz val="10.0"/>
      </rPr>
      <t>つだけで判定の意味がわかる）</t>
    </r>
  </si>
  <si>
    <t>A-1</t>
  </si>
  <si>
    <r>
      <rPr>
        <rFont val="Noto Sans CJK SC"/>
        <color rgb="FF000000"/>
        <sz val="8.0"/>
      </rPr>
      <t xml:space="preserve">自動判定 </t>
    </r>
    <r>
      <rPr>
        <rFont val="Yu Gothic"/>
        <color rgb="FF000000"/>
        <sz val="8.0"/>
      </rPr>
      <t>B6</t>
    </r>
  </si>
  <si>
    <t>総売上</t>
  </si>
  <si>
    <r>
      <rPr>
        <rFont val="Noto Sans CJK SC"/>
        <color rgb="FF000000"/>
        <sz val="9.0"/>
      </rPr>
      <t xml:space="preserve">単価 </t>
    </r>
    <r>
      <rPr>
        <rFont val="Yu Gothic"/>
        <color rgb="FF000000"/>
        <sz val="9.0"/>
      </rPr>
      <t xml:space="preserve">× </t>
    </r>
    <r>
      <rPr>
        <rFont val="Noto Sans CJK SC"/>
        <color rgb="FF000000"/>
        <sz val="9.0"/>
      </rPr>
      <t>総口数。完売したときにお客様から入る</t>
    </r>
    <r>
      <rPr>
        <rFont val="Yu Gothic"/>
        <color rgb="FF000000"/>
        <sz val="9.0"/>
      </rPr>
      <t>pt</t>
    </r>
    <r>
      <rPr>
        <rFont val="Noto Sans CJK SC"/>
        <color rgb="FF000000"/>
        <sz val="9.0"/>
      </rPr>
      <t>の総額（</t>
    </r>
    <r>
      <rPr>
        <rFont val="Yu Gothic"/>
        <color rgb="FF000000"/>
        <sz val="9.0"/>
      </rPr>
      <t>1pt</t>
    </r>
    <r>
      <rPr>
        <rFont val="Noto Sans CJK SC"/>
        <color rgb="FF000000"/>
        <sz val="9.0"/>
      </rPr>
      <t>＝</t>
    </r>
    <r>
      <rPr>
        <rFont val="Yu Gothic"/>
        <color rgb="FF000000"/>
        <sz val="9.0"/>
      </rPr>
      <t>1</t>
    </r>
    <r>
      <rPr>
        <rFont val="Noto Sans CJK SC"/>
        <color rgb="FF000000"/>
        <sz val="9.0"/>
      </rPr>
      <t>円）</t>
    </r>
  </si>
  <si>
    <r>
      <rPr>
        <rFont val="Noto Sans CJK SC"/>
        <color rgb="FF1F3864"/>
        <sz val="8.0"/>
      </rPr>
      <t>＝設計入力</t>
    </r>
    <r>
      <rPr>
        <rFont val="Yu Gothic"/>
        <color rgb="FF1F3864"/>
        <sz val="8.0"/>
      </rPr>
      <t>!D6*</t>
    </r>
    <r>
      <rPr>
        <rFont val="Noto Sans CJK SC"/>
        <color rgb="FF1F3864"/>
        <sz val="8.0"/>
      </rPr>
      <t>設計入力</t>
    </r>
    <r>
      <rPr>
        <rFont val="Yu Gothic"/>
        <color rgb="FF1F3864"/>
        <sz val="8.0"/>
      </rPr>
      <t>!D7</t>
    </r>
  </si>
  <si>
    <r>
      <rPr>
        <rFont val="Yu Gothic"/>
        <color rgb="FF000000"/>
        <sz val="9.0"/>
      </rPr>
      <t>800 × 5,000</t>
    </r>
    <r>
      <rPr>
        <rFont val="Noto Sans CJK SC"/>
        <color rgb="FF000000"/>
        <sz val="9.0"/>
      </rPr>
      <t xml:space="preserve">口 ＝ </t>
    </r>
    <r>
      <rPr>
        <rFont val="Yu Gothic"/>
        <color rgb="FF000000"/>
        <sz val="9.0"/>
      </rPr>
      <t>4,000,000pt</t>
    </r>
  </si>
  <si>
    <t>A-2</t>
  </si>
  <si>
    <r>
      <rPr>
        <rFont val="Noto Sans CJK SC"/>
        <color rgb="FF000000"/>
        <sz val="8.0"/>
      </rPr>
      <t xml:space="preserve">自動判定 </t>
    </r>
    <r>
      <rPr>
        <rFont val="Yu Gothic"/>
        <color rgb="FF000000"/>
        <sz val="8.0"/>
      </rPr>
      <t>B9</t>
    </r>
  </si>
  <si>
    <r>
      <rPr>
        <rFont val="Noto Sans CJK SC"/>
        <color rgb="FF000000"/>
        <sz val="9.0"/>
      </rPr>
      <t>表示</t>
    </r>
    <r>
      <rPr>
        <rFont val="Yu Gothic"/>
        <color rgb="FF000000"/>
        <sz val="9.0"/>
      </rPr>
      <t>PT</t>
    </r>
    <r>
      <rPr>
        <rFont val="Noto Sans CJK SC"/>
        <color rgb="FF000000"/>
        <sz val="9.0"/>
      </rPr>
      <t xml:space="preserve">合計 </t>
    </r>
    <r>
      <rPr>
        <rFont val="Yu Gothic"/>
        <color rgb="FF000000"/>
        <sz val="9.0"/>
      </rPr>
      <t xml:space="preserve">÷ </t>
    </r>
    <r>
      <rPr>
        <rFont val="Noto Sans CJK SC"/>
        <color rgb="FF000000"/>
        <sz val="9.0"/>
      </rPr>
      <t>総売上。バナーに書く「◯</t>
    </r>
    <r>
      <rPr>
        <rFont val="Yu Gothic"/>
        <color rgb="FF000000"/>
        <sz val="9.0"/>
      </rPr>
      <t>%</t>
    </r>
    <r>
      <rPr>
        <rFont val="Noto Sans CJK SC"/>
        <color rgb="FF000000"/>
        <sz val="9.0"/>
      </rPr>
      <t>」</t>
    </r>
  </si>
  <si>
    <r>
      <rPr>
        <rFont val="Noto Sans CJK SC"/>
        <color rgb="FF1F3864"/>
        <sz val="8.0"/>
      </rPr>
      <t>＝</t>
    </r>
    <r>
      <rPr>
        <rFont val="Yu Gothic"/>
        <color rgb="FF1F3864"/>
        <sz val="8.0"/>
      </rPr>
      <t>B8/B6</t>
    </r>
  </si>
  <si>
    <r>
      <rPr>
        <rFont val="Yu Gothic"/>
        <color rgb="FF000000"/>
        <sz val="9.0"/>
      </rPr>
      <t xml:space="preserve">4,330,000 ÷ 4,000,000 </t>
    </r>
    <r>
      <rPr>
        <rFont val="Noto Sans CJK SC"/>
        <color rgb="FF000000"/>
        <sz val="9.0"/>
      </rPr>
      <t xml:space="preserve">＝ </t>
    </r>
    <r>
      <rPr>
        <rFont val="Yu Gothic"/>
        <color rgb="FF000000"/>
        <sz val="9.0"/>
      </rPr>
      <t>108.25%</t>
    </r>
  </si>
  <si>
    <t>A-3</t>
  </si>
  <si>
    <r>
      <rPr>
        <rFont val="Noto Sans CJK SC"/>
        <color rgb="FF000000"/>
        <sz val="8.0"/>
      </rPr>
      <t xml:space="preserve">自動判定 </t>
    </r>
    <r>
      <rPr>
        <rFont val="Yu Gothic"/>
        <color rgb="FF000000"/>
        <sz val="8.0"/>
      </rPr>
      <t>B14</t>
    </r>
  </si>
  <si>
    <r>
      <rPr>
        <rFont val="Noto Sans CJK SC"/>
        <b/>
        <color rgb="FF000000"/>
        <sz val="9.0"/>
      </rPr>
      <t>★実効</t>
    </r>
    <r>
      <rPr>
        <rFont val="Yu Gothic"/>
        <b/>
        <color rgb="FF000000"/>
        <sz val="9.0"/>
      </rPr>
      <t>pt</t>
    </r>
    <r>
      <rPr>
        <rFont val="Noto Sans CJK SC"/>
        <b/>
        <color rgb="FF000000"/>
        <sz val="9.0"/>
      </rPr>
      <t>建て</t>
    </r>
    <r>
      <rPr>
        <rFont val="Yu Gothic"/>
        <b/>
        <color rgb="FF000000"/>
        <sz val="9.0"/>
      </rPr>
      <t>EV</t>
    </r>
  </si>
  <si>
    <r>
      <rPr>
        <rFont val="Noto Sans CJK SC"/>
        <color rgb="FF000000"/>
        <sz val="9.0"/>
      </rPr>
      <t>単体</t>
    </r>
    <r>
      <rPr>
        <rFont val="Yu Gothic"/>
        <color rgb="FF000000"/>
        <sz val="9.0"/>
      </rPr>
      <t>EV</t>
    </r>
    <r>
      <rPr>
        <rFont val="Noto Sans CJK SC"/>
        <color rgb="FF000000"/>
        <sz val="9.0"/>
      </rPr>
      <t>（</t>
    </r>
    <r>
      <rPr>
        <rFont val="Yu Gothic"/>
        <color rgb="FF000000"/>
        <sz val="9.0"/>
      </rPr>
      <t>(</t>
    </r>
    <r>
      <rPr>
        <rFont val="Noto Sans CJK SC"/>
        <color rgb="FF000000"/>
        <sz val="9.0"/>
      </rPr>
      <t>表示</t>
    </r>
    <r>
      <rPr>
        <rFont val="Yu Gothic"/>
        <color rgb="FF000000"/>
        <sz val="9.0"/>
      </rPr>
      <t>PT</t>
    </r>
    <r>
      <rPr>
        <rFont val="Noto Sans CJK SC"/>
        <color rgb="FF000000"/>
        <sz val="9.0"/>
      </rPr>
      <t>合計−発送限定</t>
    </r>
    <r>
      <rPr>
        <rFont val="Yu Gothic"/>
        <color rgb="FF000000"/>
        <sz val="9.0"/>
      </rPr>
      <t>)÷</t>
    </r>
    <r>
      <rPr>
        <rFont val="Noto Sans CJK SC"/>
        <color rgb="FF000000"/>
        <sz val="9.0"/>
      </rPr>
      <t>総売上）に、クーポン・紹介</t>
    </r>
    <r>
      <rPr>
        <rFont val="Yu Gothic"/>
        <color rgb="FF000000"/>
        <sz val="9.0"/>
      </rPr>
      <t>pt</t>
    </r>
    <r>
      <rPr>
        <rFont val="Noto Sans CJK SC"/>
        <color rgb="FF000000"/>
        <sz val="9.0"/>
      </rPr>
      <t>等の外部付与見込みを足したもの。</t>
    </r>
    <r>
      <rPr>
        <rFont val="Yu Gothic"/>
        <color rgb="FF000000"/>
        <sz val="9.0"/>
      </rPr>
      <t>100%</t>
    </r>
    <r>
      <rPr>
        <rFont val="Noto Sans CJK SC"/>
        <color rgb="FF000000"/>
        <sz val="9.0"/>
      </rPr>
      <t>以上で</t>
    </r>
    <r>
      <rPr>
        <rFont val="Yu Gothic"/>
        <color rgb="FF000000"/>
        <sz val="9.0"/>
      </rPr>
      <t>pt</t>
    </r>
    <r>
      <rPr>
        <rFont val="Noto Sans CJK SC"/>
        <color rgb="FF000000"/>
        <sz val="9.0"/>
      </rPr>
      <t>が増殖して再投入ループ成立（＝末広がり事案）。安全上限</t>
    </r>
    <r>
      <rPr>
        <rFont val="Yu Gothic"/>
        <color rgb="FF000000"/>
        <sz val="9.0"/>
      </rPr>
      <t>95%</t>
    </r>
    <r>
      <rPr>
        <rFont val="Noto Sans CJK SC"/>
        <color rgb="FF000000"/>
        <sz val="9.0"/>
      </rPr>
      <t>以上は注意</t>
    </r>
  </si>
  <si>
    <r>
      <rPr>
        <rFont val="Noto Sans CJK SC"/>
        <color rgb="FF1F3864"/>
        <sz val="8.0"/>
      </rPr>
      <t>＝</t>
    </r>
    <r>
      <rPr>
        <rFont val="Yu Gothic"/>
        <color rgb="FF1F3864"/>
        <sz val="8.0"/>
      </rPr>
      <t xml:space="preserve">(B8-B10)/B6 + </t>
    </r>
    <r>
      <rPr>
        <rFont val="Noto Sans CJK SC"/>
        <color rgb="FF1F3864"/>
        <sz val="8.0"/>
      </rPr>
      <t>外部付与率</t>
    </r>
  </si>
  <si>
    <r>
      <rPr>
        <rFont val="Yu Gothic"/>
        <color rgb="FF000000"/>
        <sz val="9.0"/>
      </rPr>
      <t xml:space="preserve">103.25% </t>
    </r>
    <r>
      <rPr>
        <rFont val="Noto Sans CJK SC"/>
        <color rgb="FF000000"/>
        <sz val="9.0"/>
      </rPr>
      <t xml:space="preserve">＋ </t>
    </r>
    <r>
      <rPr>
        <rFont val="Yu Gothic"/>
        <color rgb="FF000000"/>
        <sz val="9.0"/>
      </rPr>
      <t xml:space="preserve">2% </t>
    </r>
    <r>
      <rPr>
        <rFont val="Noto Sans CJK SC"/>
        <color rgb="FF000000"/>
        <sz val="9.0"/>
      </rPr>
      <t xml:space="preserve">＝ </t>
    </r>
    <r>
      <rPr>
        <rFont val="Yu Gothic"/>
        <color rgb="FF000000"/>
        <sz val="9.0"/>
      </rPr>
      <t>105.25% → 100%</t>
    </r>
    <r>
      <rPr>
        <rFont val="Noto Sans CJK SC"/>
        <color rgb="FF000000"/>
        <sz val="9.0"/>
      </rPr>
      <t>以上なので</t>
    </r>
    <r>
      <rPr>
        <rFont val="Yu Gothic"/>
        <color rgb="FF000000"/>
        <sz val="9.0"/>
      </rPr>
      <t>NG</t>
    </r>
  </si>
  <si>
    <r>
      <rPr>
        <rFont val="Yu Gothic"/>
        <b/>
        <color rgb="FF000000"/>
        <sz val="10.0"/>
      </rPr>
      <t xml:space="preserve">B. </t>
    </r>
    <r>
      <rPr>
        <rFont val="Noto Sans CJK SC"/>
        <b/>
        <color rgb="FF000000"/>
        <sz val="10.0"/>
      </rPr>
      <t>設計入力シートの自動計算（</t>
    </r>
    <r>
      <rPr>
        <rFont val="Yu Gothic"/>
        <b/>
        <color rgb="FF000000"/>
        <sz val="10.0"/>
      </rPr>
      <t>J</t>
    </r>
    <r>
      <rPr>
        <rFont val="Noto Sans CJK SC"/>
        <b/>
        <color rgb="FF000000"/>
        <sz val="10.0"/>
      </rPr>
      <t>〜</t>
    </r>
    <r>
      <rPr>
        <rFont val="Yu Gothic"/>
        <b/>
        <color rgb="FF000000"/>
        <sz val="10.0"/>
      </rPr>
      <t>M</t>
    </r>
    <r>
      <rPr>
        <rFont val="Noto Sans CJK SC"/>
        <b/>
        <color rgb="FF000000"/>
        <sz val="10.0"/>
      </rPr>
      <t>列と合計行）</t>
    </r>
  </si>
  <si>
    <t>B-1</t>
  </si>
  <si>
    <r>
      <rPr>
        <rFont val="Noto Sans CJK SC"/>
        <color rgb="FF000000"/>
        <sz val="8.0"/>
      </rPr>
      <t xml:space="preserve">設計入力 </t>
    </r>
    <r>
      <rPr>
        <rFont val="Yu Gothic"/>
        <color rgb="FF000000"/>
        <sz val="8.0"/>
      </rPr>
      <t>J</t>
    </r>
    <r>
      <rPr>
        <rFont val="Noto Sans CJK SC"/>
        <color rgb="FF000000"/>
        <sz val="8.0"/>
      </rPr>
      <t>列</t>
    </r>
  </si>
  <si>
    <r>
      <rPr>
        <rFont val="Noto Sans CJK SC"/>
        <b/>
        <color rgb="FF000000"/>
        <sz val="9.0"/>
      </rPr>
      <t>表示</t>
    </r>
    <r>
      <rPr>
        <rFont val="Yu Gothic"/>
        <b/>
        <color rgb="FF000000"/>
        <sz val="9.0"/>
      </rPr>
      <t>PT/</t>
    </r>
    <r>
      <rPr>
        <rFont val="Noto Sans CJK SC"/>
        <b/>
        <color rgb="FF000000"/>
        <sz val="9.0"/>
      </rPr>
      <t>枚</t>
    </r>
  </si>
  <si>
    <r>
      <rPr>
        <rFont val="Noto Sans CJK SC"/>
        <color rgb="FF000000"/>
        <sz val="9.0"/>
      </rPr>
      <t>その賞を引いたとき画面に出る</t>
    </r>
    <r>
      <rPr>
        <rFont val="Yu Gothic"/>
        <color rgb="FF000000"/>
        <sz val="9.0"/>
      </rPr>
      <t>pt</t>
    </r>
    <r>
      <rPr>
        <rFont val="Noto Sans CJK SC"/>
        <color rgb="FF000000"/>
        <sz val="9.0"/>
      </rPr>
      <t>。「表示</t>
    </r>
    <r>
      <rPr>
        <rFont val="Yu Gothic"/>
        <color rgb="FF000000"/>
        <sz val="9.0"/>
      </rPr>
      <t>PT</t>
    </r>
    <r>
      <rPr>
        <rFont val="Noto Sans CJK SC"/>
        <color rgb="FF000000"/>
        <sz val="9.0"/>
      </rPr>
      <t xml:space="preserve">直接指定」があればその値。空欄なら 実価値 </t>
    </r>
    <r>
      <rPr>
        <rFont val="Yu Gothic"/>
        <color rgb="FF000000"/>
        <sz val="9.0"/>
      </rPr>
      <t xml:space="preserve">× </t>
    </r>
    <r>
      <rPr>
        <rFont val="Noto Sans CJK SC"/>
        <color rgb="FF000000"/>
        <sz val="9.0"/>
      </rPr>
      <t>上乗せ倍率（四捨五入）</t>
    </r>
  </si>
  <si>
    <r>
      <rPr>
        <rFont val="Noto Sans CJK SC"/>
        <color rgb="FF1F3864"/>
        <sz val="8.0"/>
      </rPr>
      <t>＝</t>
    </r>
    <r>
      <rPr>
        <rFont val="Yu Gothic"/>
        <color rgb="FF1F3864"/>
        <sz val="8.0"/>
      </rPr>
      <t>IF(I="","</t>
    </r>
    <r>
      <rPr>
        <rFont val="Noto Sans CJK SC"/>
        <color rgb="FF1F3864"/>
        <sz val="8.0"/>
      </rPr>
      <t>実価値</t>
    </r>
    <r>
      <rPr>
        <rFont val="Yu Gothic"/>
        <color rgb="FF1F3864"/>
        <sz val="8.0"/>
      </rPr>
      <t>×</t>
    </r>
    <r>
      <rPr>
        <rFont val="Noto Sans CJK SC"/>
        <color rgb="FF1F3864"/>
        <sz val="8.0"/>
      </rPr>
      <t>倍率</t>
    </r>
    <r>
      <rPr>
        <rFont val="Yu Gothic"/>
        <color rgb="FF1F3864"/>
        <sz val="8.0"/>
      </rPr>
      <t>",I)</t>
    </r>
  </si>
  <si>
    <r>
      <rPr>
        <rFont val="Yu Gothic"/>
        <color rgb="FF000000"/>
        <sz val="9.0"/>
      </rPr>
      <t>2</t>
    </r>
    <r>
      <rPr>
        <rFont val="Noto Sans CJK SC"/>
        <color rgb="FF000000"/>
        <sz val="9.0"/>
      </rPr>
      <t>等：</t>
    </r>
    <r>
      <rPr>
        <rFont val="Yu Gothic"/>
        <color rgb="FF000000"/>
        <sz val="9.0"/>
      </rPr>
      <t xml:space="preserve">50,000 × 1.2 </t>
    </r>
    <r>
      <rPr>
        <rFont val="Noto Sans CJK SC"/>
        <color rgb="FF000000"/>
        <sz val="9.0"/>
      </rPr>
      <t xml:space="preserve">＝ </t>
    </r>
    <r>
      <rPr>
        <rFont val="Yu Gothic"/>
        <color rgb="FF000000"/>
        <sz val="9.0"/>
      </rPr>
      <t xml:space="preserve">60,000pt </t>
    </r>
    <r>
      <rPr>
        <rFont val="Noto Sans CJK SC"/>
        <color rgb="FF000000"/>
        <sz val="9.0"/>
      </rPr>
      <t xml:space="preserve">／ 最低保証：直接指定 </t>
    </r>
    <r>
      <rPr>
        <rFont val="Yu Gothic"/>
        <color rgb="FF000000"/>
        <sz val="9.0"/>
      </rPr>
      <t>65pt</t>
    </r>
  </si>
  <si>
    <t>B-2</t>
  </si>
  <si>
    <r>
      <rPr>
        <rFont val="Noto Sans CJK SC"/>
        <color rgb="FF000000"/>
        <sz val="8.0"/>
      </rPr>
      <t xml:space="preserve">設計入力 </t>
    </r>
    <r>
      <rPr>
        <rFont val="Yu Gothic"/>
        <color rgb="FF000000"/>
        <sz val="8.0"/>
      </rPr>
      <t>K</t>
    </r>
    <r>
      <rPr>
        <rFont val="Noto Sans CJK SC"/>
        <color rgb="FF000000"/>
        <sz val="8.0"/>
      </rPr>
      <t>列</t>
    </r>
  </si>
  <si>
    <r>
      <rPr>
        <rFont val="Noto Sans CJK SC"/>
        <b/>
        <color rgb="FF000000"/>
        <sz val="9.0"/>
      </rPr>
      <t>表示</t>
    </r>
    <r>
      <rPr>
        <rFont val="Yu Gothic"/>
        <b/>
        <color rgb="FF000000"/>
        <sz val="9.0"/>
      </rPr>
      <t>PT</t>
    </r>
    <r>
      <rPr>
        <rFont val="Noto Sans CJK SC"/>
        <b/>
        <color rgb="FF000000"/>
        <sz val="9.0"/>
      </rPr>
      <t>小計</t>
    </r>
  </si>
  <si>
    <r>
      <rPr>
        <rFont val="Noto Sans CJK SC"/>
        <color rgb="FF000000"/>
        <sz val="9.0"/>
      </rPr>
      <t xml:space="preserve">口数 </t>
    </r>
    <r>
      <rPr>
        <rFont val="Yu Gothic"/>
        <color rgb="FF000000"/>
        <sz val="9.0"/>
      </rPr>
      <t xml:space="preserve">× </t>
    </r>
    <r>
      <rPr>
        <rFont val="Noto Sans CJK SC"/>
        <color rgb="FF000000"/>
        <sz val="9.0"/>
      </rPr>
      <t>表示</t>
    </r>
    <r>
      <rPr>
        <rFont val="Yu Gothic"/>
        <color rgb="FF000000"/>
        <sz val="9.0"/>
      </rPr>
      <t>PT/</t>
    </r>
    <r>
      <rPr>
        <rFont val="Noto Sans CJK SC"/>
        <color rgb="FF000000"/>
        <sz val="9.0"/>
      </rPr>
      <t>枚。その賞ランク全体で付与しうる</t>
    </r>
    <r>
      <rPr>
        <rFont val="Yu Gothic"/>
        <color rgb="FF000000"/>
        <sz val="9.0"/>
      </rPr>
      <t>pt</t>
    </r>
  </si>
  <si>
    <r>
      <rPr>
        <rFont val="Noto Sans CJK SC"/>
        <color rgb="FF1F3864"/>
        <sz val="8.0"/>
      </rPr>
      <t>＝</t>
    </r>
    <r>
      <rPr>
        <rFont val="Yu Gothic"/>
        <color rgb="FF1F3864"/>
        <sz val="8.0"/>
      </rPr>
      <t>D×J</t>
    </r>
  </si>
  <si>
    <r>
      <rPr>
        <rFont val="Yu Gothic"/>
        <color rgb="FF000000"/>
        <sz val="9.0"/>
      </rPr>
      <t>4</t>
    </r>
    <r>
      <rPr>
        <rFont val="Noto Sans CJK SC"/>
        <color rgb="FF000000"/>
        <sz val="9.0"/>
      </rPr>
      <t>等：</t>
    </r>
    <r>
      <rPr>
        <rFont val="Yu Gothic"/>
        <color rgb="FF000000"/>
        <sz val="9.0"/>
      </rPr>
      <t>950</t>
    </r>
    <r>
      <rPr>
        <rFont val="Noto Sans CJK SC"/>
        <color rgb="FF000000"/>
        <sz val="9.0"/>
      </rPr>
      <t xml:space="preserve">口 </t>
    </r>
    <r>
      <rPr>
        <rFont val="Yu Gothic"/>
        <color rgb="FF000000"/>
        <sz val="9.0"/>
      </rPr>
      <t xml:space="preserve">× 2,600 </t>
    </r>
    <r>
      <rPr>
        <rFont val="Noto Sans CJK SC"/>
        <color rgb="FF000000"/>
        <sz val="9.0"/>
      </rPr>
      <t xml:space="preserve">＝ </t>
    </r>
    <r>
      <rPr>
        <rFont val="Yu Gothic"/>
        <color rgb="FF000000"/>
        <sz val="9.0"/>
      </rPr>
      <t>2,470,000pt</t>
    </r>
  </si>
  <si>
    <t>B-3</t>
  </si>
  <si>
    <r>
      <rPr>
        <rFont val="Noto Sans CJK SC"/>
        <color rgb="FF000000"/>
        <sz val="8.0"/>
      </rPr>
      <t xml:space="preserve">設計入力 </t>
    </r>
    <r>
      <rPr>
        <rFont val="Yu Gothic"/>
        <color rgb="FF000000"/>
        <sz val="8.0"/>
      </rPr>
      <t>L</t>
    </r>
    <r>
      <rPr>
        <rFont val="Noto Sans CJK SC"/>
        <color rgb="FF000000"/>
        <sz val="8.0"/>
      </rPr>
      <t>列</t>
    </r>
  </si>
  <si>
    <t>実価値小計</t>
  </si>
  <si>
    <r>
      <rPr>
        <rFont val="Noto Sans CJK SC"/>
        <color rgb="FF000000"/>
        <sz val="9.0"/>
      </rPr>
      <t xml:space="preserve">口数 </t>
    </r>
    <r>
      <rPr>
        <rFont val="Yu Gothic"/>
        <color rgb="FF000000"/>
        <sz val="9.0"/>
      </rPr>
      <t xml:space="preserve">× </t>
    </r>
    <r>
      <rPr>
        <rFont val="Noto Sans CJK SC"/>
        <color rgb="FF000000"/>
        <sz val="9.0"/>
      </rPr>
      <t>実価値</t>
    </r>
    <r>
      <rPr>
        <rFont val="Yu Gothic"/>
        <color rgb="FF000000"/>
        <sz val="9.0"/>
      </rPr>
      <t>/</t>
    </r>
    <r>
      <rPr>
        <rFont val="Noto Sans CJK SC"/>
        <color rgb="FF000000"/>
        <sz val="9.0"/>
      </rPr>
      <t>枚。カードの仕入れ相当額</t>
    </r>
  </si>
  <si>
    <r>
      <rPr>
        <rFont val="Noto Sans CJK SC"/>
        <color rgb="FF1F3864"/>
        <sz val="8.0"/>
      </rPr>
      <t>＝</t>
    </r>
    <r>
      <rPr>
        <rFont val="Yu Gothic"/>
        <color rgb="FF1F3864"/>
        <sz val="8.0"/>
      </rPr>
      <t>D×E</t>
    </r>
  </si>
  <si>
    <r>
      <rPr>
        <rFont val="Yu Gothic"/>
        <color rgb="FF000000"/>
        <sz val="9.0"/>
      </rPr>
      <t>4</t>
    </r>
    <r>
      <rPr>
        <rFont val="Noto Sans CJK SC"/>
        <color rgb="FF000000"/>
        <sz val="9.0"/>
      </rPr>
      <t>等：</t>
    </r>
    <r>
      <rPr>
        <rFont val="Yu Gothic"/>
        <color rgb="FF000000"/>
        <sz val="9.0"/>
      </rPr>
      <t>950</t>
    </r>
    <r>
      <rPr>
        <rFont val="Noto Sans CJK SC"/>
        <color rgb="FF000000"/>
        <sz val="9.0"/>
      </rPr>
      <t xml:space="preserve">口 </t>
    </r>
    <r>
      <rPr>
        <rFont val="Yu Gothic"/>
        <color rgb="FF000000"/>
        <sz val="9.0"/>
      </rPr>
      <t xml:space="preserve">× 2,000 </t>
    </r>
    <r>
      <rPr>
        <rFont val="Noto Sans CJK SC"/>
        <color rgb="FF000000"/>
        <sz val="9.0"/>
      </rPr>
      <t xml:space="preserve">＝ </t>
    </r>
    <r>
      <rPr>
        <rFont val="Yu Gothic"/>
        <color rgb="FF000000"/>
        <sz val="9.0"/>
      </rPr>
      <t>1,900,000</t>
    </r>
    <r>
      <rPr>
        <rFont val="Noto Sans CJK SC"/>
        <color rgb="FF000000"/>
        <sz val="9.0"/>
      </rPr>
      <t>円</t>
    </r>
  </si>
  <si>
    <t>B-4</t>
  </si>
  <si>
    <r>
      <rPr>
        <rFont val="Noto Sans CJK SC"/>
        <color rgb="FF000000"/>
        <sz val="8.0"/>
      </rPr>
      <t xml:space="preserve">設計入力 </t>
    </r>
    <r>
      <rPr>
        <rFont val="Yu Gothic"/>
        <color rgb="FF000000"/>
        <sz val="8.0"/>
      </rPr>
      <t>M</t>
    </r>
    <r>
      <rPr>
        <rFont val="Noto Sans CJK SC"/>
        <color rgb="FF000000"/>
        <sz val="8.0"/>
      </rPr>
      <t>列</t>
    </r>
  </si>
  <si>
    <t>出現率</t>
  </si>
  <si>
    <r>
      <rPr>
        <rFont val="Noto Sans CJK SC"/>
        <color rgb="FF000000"/>
        <sz val="9.0"/>
      </rPr>
      <t xml:space="preserve">口数 </t>
    </r>
    <r>
      <rPr>
        <rFont val="Yu Gothic"/>
        <color rgb="FF000000"/>
        <sz val="9.0"/>
      </rPr>
      <t xml:space="preserve">÷ </t>
    </r>
    <r>
      <rPr>
        <rFont val="Noto Sans CJK SC"/>
        <color rgb="FF000000"/>
        <sz val="9.0"/>
      </rPr>
      <t>総口数。</t>
    </r>
    <r>
      <rPr>
        <rFont val="Yu Gothic"/>
        <color rgb="FF000000"/>
        <sz val="9.0"/>
      </rPr>
      <t>1</t>
    </r>
    <r>
      <rPr>
        <rFont val="Noto Sans CJK SC"/>
        <color rgb="FF000000"/>
        <sz val="9.0"/>
      </rPr>
      <t>口買ってその賞が当たる確率</t>
    </r>
  </si>
  <si>
    <r>
      <rPr>
        <rFont val="Noto Sans CJK SC"/>
        <color rgb="FF1F3864"/>
        <sz val="8.0"/>
      </rPr>
      <t>＝</t>
    </r>
    <r>
      <rPr>
        <rFont val="Yu Gothic"/>
        <color rgb="FF1F3864"/>
        <sz val="8.0"/>
      </rPr>
      <t>D/</t>
    </r>
    <r>
      <rPr>
        <rFont val="Noto Sans CJK SC"/>
        <color rgb="FF1F3864"/>
        <sz val="8.0"/>
      </rPr>
      <t>総口数</t>
    </r>
  </si>
  <si>
    <r>
      <rPr>
        <rFont val="Yu Gothic"/>
        <color rgb="FF000000"/>
        <sz val="9.0"/>
      </rPr>
      <t>4</t>
    </r>
    <r>
      <rPr>
        <rFont val="Noto Sans CJK SC"/>
        <color rgb="FF000000"/>
        <sz val="9.0"/>
      </rPr>
      <t>等：</t>
    </r>
    <r>
      <rPr>
        <rFont val="Yu Gothic"/>
        <color rgb="FF000000"/>
        <sz val="9.0"/>
      </rPr>
      <t xml:space="preserve">950 ÷ 5,000 </t>
    </r>
    <r>
      <rPr>
        <rFont val="Noto Sans CJK SC"/>
        <color rgb="FF000000"/>
        <sz val="9.0"/>
      </rPr>
      <t xml:space="preserve">＝ </t>
    </r>
    <r>
      <rPr>
        <rFont val="Yu Gothic"/>
        <color rgb="FF000000"/>
        <sz val="9.0"/>
      </rPr>
      <t>19.00%</t>
    </r>
  </si>
  <si>
    <t>B-5</t>
  </si>
  <si>
    <r>
      <rPr>
        <rFont val="Noto Sans CJK SC"/>
        <color rgb="FF000000"/>
        <sz val="8.0"/>
      </rPr>
      <t xml:space="preserve">設計入力 </t>
    </r>
    <r>
      <rPr>
        <rFont val="Yu Gothic"/>
        <color rgb="FF000000"/>
        <sz val="8.0"/>
      </rPr>
      <t>35</t>
    </r>
    <r>
      <rPr>
        <rFont val="Noto Sans CJK SC"/>
        <color rgb="FF000000"/>
        <sz val="8.0"/>
      </rPr>
      <t>行</t>
    </r>
  </si>
  <si>
    <t>合計行</t>
  </si>
  <si>
    <r>
      <rPr>
        <rFont val="Noto Sans CJK SC"/>
        <color rgb="FF000000"/>
        <sz val="9.0"/>
      </rPr>
      <t>各列の</t>
    </r>
    <r>
      <rPr>
        <rFont val="Yu Gothic"/>
        <color rgb="FF000000"/>
        <sz val="9.0"/>
      </rPr>
      <t>SUM</t>
    </r>
    <r>
      <rPr>
        <rFont val="Noto Sans CJK SC"/>
        <color rgb="FF000000"/>
        <sz val="9.0"/>
      </rPr>
      <t>。口数合計＝総口数、出現率合計＝</t>
    </r>
    <r>
      <rPr>
        <rFont val="Yu Gothic"/>
        <color rgb="FF000000"/>
        <sz val="9.0"/>
      </rPr>
      <t xml:space="preserve">100% </t>
    </r>
    <r>
      <rPr>
        <rFont val="Noto Sans CJK SC"/>
        <color rgb="FF000000"/>
        <sz val="9.0"/>
      </rPr>
      <t>になっていることが正常</t>
    </r>
  </si>
  <si>
    <r>
      <rPr>
        <rFont val="Noto Sans CJK SC"/>
        <color rgb="FF1F3864"/>
        <sz val="8.0"/>
      </rPr>
      <t>＝</t>
    </r>
    <r>
      <rPr>
        <rFont val="Yu Gothic"/>
        <color rgb="FF1F3864"/>
        <sz val="8.0"/>
      </rPr>
      <t>SUM(</t>
    </r>
    <r>
      <rPr>
        <rFont val="Noto Sans CJK SC"/>
        <color rgb="FF1F3864"/>
        <sz val="8.0"/>
      </rPr>
      <t>範囲</t>
    </r>
    <r>
      <rPr>
        <rFont val="Yu Gothic"/>
        <color rgb="FF1F3864"/>
        <sz val="8.0"/>
      </rPr>
      <t>)</t>
    </r>
  </si>
  <si>
    <r>
      <rPr>
        <rFont val="Noto Sans CJK SC"/>
        <color rgb="FF000000"/>
        <sz val="9.0"/>
      </rPr>
      <t xml:space="preserve">口数 </t>
    </r>
    <r>
      <rPr>
        <rFont val="Yu Gothic"/>
        <color rgb="FF000000"/>
        <sz val="9.0"/>
      </rPr>
      <t>5,000</t>
    </r>
    <r>
      <rPr>
        <rFont val="Noto Sans CJK SC"/>
        <color rgb="FF000000"/>
        <sz val="9.0"/>
      </rPr>
      <t xml:space="preserve">（一致）／出現率 </t>
    </r>
    <r>
      <rPr>
        <rFont val="Yu Gothic"/>
        <color rgb="FF000000"/>
        <sz val="9.0"/>
      </rPr>
      <t>100.00%</t>
    </r>
  </si>
  <si>
    <r>
      <rPr>
        <rFont val="Yu Gothic"/>
        <b/>
        <color rgb="FF000000"/>
        <sz val="10.0"/>
      </rPr>
      <t xml:space="preserve">C. </t>
    </r>
    <r>
      <rPr>
        <rFont val="Noto Sans CJK SC"/>
        <b/>
        <color rgb="FF000000"/>
        <sz val="10.0"/>
      </rPr>
      <t>自動判定シートの式（</t>
    </r>
    <r>
      <rPr>
        <rFont val="Yu Gothic"/>
        <b/>
        <color rgb="FF000000"/>
        <sz val="10.0"/>
      </rPr>
      <t>EV</t>
    </r>
    <r>
      <rPr>
        <rFont val="Noto Sans CJK SC"/>
        <b/>
        <color rgb="FF000000"/>
        <sz val="10.0"/>
      </rPr>
      <t>・完全性・損益）</t>
    </r>
  </si>
  <si>
    <t>C-1</t>
  </si>
  <si>
    <r>
      <rPr>
        <rFont val="Noto Sans CJK SC"/>
        <color rgb="FF000000"/>
        <sz val="8.0"/>
      </rPr>
      <t xml:space="preserve">自動判定 </t>
    </r>
    <r>
      <rPr>
        <rFont val="Yu Gothic"/>
        <color rgb="FF000000"/>
        <sz val="8.0"/>
      </rPr>
      <t>B10</t>
    </r>
  </si>
  <si>
    <r>
      <rPr>
        <rFont val="Noto Sans CJK SC"/>
        <b/>
        <color rgb="FF000000"/>
        <sz val="9.0"/>
      </rPr>
      <t>発送限定の表示</t>
    </r>
    <r>
      <rPr>
        <rFont val="Yu Gothic"/>
        <b/>
        <color rgb="FF000000"/>
        <sz val="9.0"/>
      </rPr>
      <t>PT</t>
    </r>
  </si>
  <si>
    <r>
      <rPr>
        <rFont val="Noto Sans CJK SC"/>
        <color rgb="FF000000"/>
        <sz val="9.0"/>
      </rPr>
      <t>受取方法が「発送限定」の行だけ</t>
    </r>
    <r>
      <rPr>
        <rFont val="Yu Gothic"/>
        <color rgb="FF000000"/>
        <sz val="9.0"/>
      </rPr>
      <t>K</t>
    </r>
    <r>
      <rPr>
        <rFont val="Noto Sans CJK SC"/>
        <color rgb="FF000000"/>
        <sz val="9.0"/>
      </rPr>
      <t>列を合計</t>
    </r>
  </si>
  <si>
    <r>
      <rPr>
        <rFont val="Noto Sans CJK SC"/>
        <color rgb="FF1F3864"/>
        <sz val="8.0"/>
      </rPr>
      <t>＝</t>
    </r>
    <r>
      <rPr>
        <rFont val="Yu Gothic"/>
        <color rgb="FF1F3864"/>
        <sz val="8.0"/>
      </rPr>
      <t>SUMIF(G</t>
    </r>
    <r>
      <rPr>
        <rFont val="Noto Sans CJK SC"/>
        <color rgb="FF1F3864"/>
        <sz val="8.0"/>
      </rPr>
      <t>列</t>
    </r>
    <r>
      <rPr>
        <rFont val="Yu Gothic"/>
        <color rgb="FF1F3864"/>
        <sz val="8.0"/>
      </rPr>
      <t>,"</t>
    </r>
    <r>
      <rPr>
        <rFont val="Noto Sans CJK SC"/>
        <color rgb="FF1F3864"/>
        <sz val="8.0"/>
      </rPr>
      <t>発送限定</t>
    </r>
    <r>
      <rPr>
        <rFont val="Yu Gothic"/>
        <color rgb="FF1F3864"/>
        <sz val="8.0"/>
      </rPr>
      <t>",K</t>
    </r>
    <r>
      <rPr>
        <rFont val="Noto Sans CJK SC"/>
        <color rgb="FF1F3864"/>
        <sz val="8.0"/>
      </rPr>
      <t>列</t>
    </r>
    <r>
      <rPr>
        <rFont val="Yu Gothic"/>
        <color rgb="FF1F3864"/>
        <sz val="8.0"/>
      </rPr>
      <t>)</t>
    </r>
  </si>
  <si>
    <r>
      <rPr>
        <rFont val="Yu Gothic"/>
        <color rgb="FF000000"/>
        <sz val="9.0"/>
      </rPr>
      <t>1</t>
    </r>
    <r>
      <rPr>
        <rFont val="Noto Sans CJK SC"/>
        <color rgb="FF000000"/>
        <sz val="9.0"/>
      </rPr>
      <t xml:space="preserve">等のみ ＝ </t>
    </r>
    <r>
      <rPr>
        <rFont val="Yu Gothic"/>
        <color rgb="FF000000"/>
        <sz val="9.0"/>
      </rPr>
      <t>200,000pt</t>
    </r>
  </si>
  <si>
    <t>C-2</t>
  </si>
  <si>
    <r>
      <rPr>
        <rFont val="Noto Sans CJK SC"/>
        <color rgb="FF000000"/>
        <sz val="8.0"/>
      </rPr>
      <t xml:space="preserve">自動判定 </t>
    </r>
    <r>
      <rPr>
        <rFont val="Yu Gothic"/>
        <color rgb="FF000000"/>
        <sz val="8.0"/>
      </rPr>
      <t>B12</t>
    </r>
    <r>
      <rPr>
        <rFont val="Noto Sans CJK SC"/>
        <color rgb="FF000000"/>
        <sz val="8.0"/>
      </rPr>
      <t>〜</t>
    </r>
    <r>
      <rPr>
        <rFont val="Yu Gothic"/>
        <color rgb="FF000000"/>
        <sz val="8.0"/>
      </rPr>
      <t>B15</t>
    </r>
  </si>
  <si>
    <r>
      <rPr>
        <rFont val="Noto Sans CJK SC"/>
        <b/>
        <color rgb="FF000000"/>
        <sz val="9.0"/>
      </rPr>
      <t>実効</t>
    </r>
    <r>
      <rPr>
        <rFont val="Yu Gothic"/>
        <b/>
        <color rgb="FF000000"/>
        <sz val="9.0"/>
      </rPr>
      <t>EV</t>
    </r>
    <r>
      <rPr>
        <rFont val="Noto Sans CJK SC"/>
        <b/>
        <color rgb="FF000000"/>
        <sz val="9.0"/>
      </rPr>
      <t>まわり</t>
    </r>
  </si>
  <si>
    <r>
      <rPr>
        <rFont val="Noto Sans CJK SC"/>
        <color rgb="FF000000"/>
        <sz val="9.0"/>
      </rPr>
      <t>単体</t>
    </r>
    <r>
      <rPr>
        <rFont val="Yu Gothic"/>
        <color rgb="FF000000"/>
        <sz val="9.0"/>
      </rPr>
      <t>EV</t>
    </r>
    <r>
      <rPr>
        <rFont val="Noto Sans CJK SC"/>
        <color rgb="FF000000"/>
        <sz val="9.0"/>
      </rPr>
      <t>＝</t>
    </r>
    <r>
      <rPr>
        <rFont val="Yu Gothic"/>
        <color rgb="FF000000"/>
        <sz val="9.0"/>
      </rPr>
      <t>pt</t>
    </r>
    <r>
      <rPr>
        <rFont val="Noto Sans CJK SC"/>
        <color rgb="FF000000"/>
        <sz val="9.0"/>
      </rPr>
      <t>建て表示</t>
    </r>
    <r>
      <rPr>
        <rFont val="Yu Gothic"/>
        <color rgb="FF000000"/>
        <sz val="9.0"/>
      </rPr>
      <t>PT÷</t>
    </r>
    <r>
      <rPr>
        <rFont val="Noto Sans CJK SC"/>
        <color rgb="FF000000"/>
        <sz val="9.0"/>
      </rPr>
      <t>総売上。実効</t>
    </r>
    <r>
      <rPr>
        <rFont val="Yu Gothic"/>
        <color rgb="FF000000"/>
        <sz val="9.0"/>
      </rPr>
      <t>EV</t>
    </r>
    <r>
      <rPr>
        <rFont val="Noto Sans CJK SC"/>
        <color rgb="FF000000"/>
        <sz val="9.0"/>
      </rPr>
      <t>＝単体</t>
    </r>
    <r>
      <rPr>
        <rFont val="Yu Gothic"/>
        <color rgb="FF000000"/>
        <sz val="9.0"/>
      </rPr>
      <t>EV</t>
    </r>
    <r>
      <rPr>
        <rFont val="Noto Sans CJK SC"/>
        <color rgb="FF000000"/>
        <sz val="9.0"/>
      </rPr>
      <t xml:space="preserve">＋外部付与見込み（入力）。判定は </t>
    </r>
    <r>
      <rPr>
        <rFont val="Yu Gothic"/>
        <color rgb="FF000000"/>
        <sz val="9.0"/>
      </rPr>
      <t>100%</t>
    </r>
    <r>
      <rPr>
        <rFont val="Noto Sans CJK SC"/>
        <color rgb="FF000000"/>
        <sz val="9.0"/>
      </rPr>
      <t>以上→</t>
    </r>
    <r>
      <rPr>
        <rFont val="Yu Gothic"/>
        <color rgb="FF000000"/>
        <sz val="9.0"/>
      </rPr>
      <t>NG</t>
    </r>
    <r>
      <rPr>
        <rFont val="Noto Sans CJK SC"/>
        <color rgb="FF000000"/>
        <sz val="9.0"/>
      </rPr>
      <t>／安全上限（入力・既定</t>
    </r>
    <r>
      <rPr>
        <rFont val="Yu Gothic"/>
        <color rgb="FF000000"/>
        <sz val="9.0"/>
      </rPr>
      <t>95%</t>
    </r>
    <r>
      <rPr>
        <rFont val="Noto Sans CJK SC"/>
        <color rgb="FF000000"/>
        <sz val="9.0"/>
      </rPr>
      <t>）以上→注意</t>
    </r>
  </si>
  <si>
    <r>
      <rPr>
        <rFont val="Noto Sans CJK SC"/>
        <color rgb="FF1F3864"/>
        <sz val="8.0"/>
      </rPr>
      <t>＝</t>
    </r>
    <r>
      <rPr>
        <rFont val="Yu Gothic"/>
        <color rgb="FF1F3864"/>
        <sz val="8.0"/>
      </rPr>
      <t>B12+B13</t>
    </r>
    <r>
      <rPr>
        <rFont val="Noto Sans CJK SC"/>
        <color rgb="FF1F3864"/>
        <sz val="8.0"/>
      </rPr>
      <t>、判定は</t>
    </r>
    <r>
      <rPr>
        <rFont val="Yu Gothic"/>
        <color rgb="FF1F3864"/>
        <sz val="8.0"/>
      </rPr>
      <t>IF</t>
    </r>
    <r>
      <rPr>
        <rFont val="Noto Sans CJK SC"/>
        <color rgb="FF1F3864"/>
        <sz val="8.0"/>
      </rPr>
      <t>の入れ子</t>
    </r>
  </si>
  <si>
    <r>
      <rPr>
        <rFont val="Yu Gothic"/>
        <color rgb="FF000000"/>
        <sz val="9.0"/>
      </rPr>
      <t>103.25%</t>
    </r>
    <r>
      <rPr>
        <rFont val="Noto Sans CJK SC"/>
        <color rgb="FF000000"/>
        <sz val="9.0"/>
      </rPr>
      <t>＋</t>
    </r>
    <r>
      <rPr>
        <rFont val="Yu Gothic"/>
        <color rgb="FF000000"/>
        <sz val="9.0"/>
      </rPr>
      <t>2%</t>
    </r>
    <r>
      <rPr>
        <rFont val="Noto Sans CJK SC"/>
        <color rgb="FF000000"/>
        <sz val="9.0"/>
      </rPr>
      <t>＝</t>
    </r>
    <r>
      <rPr>
        <rFont val="Yu Gothic"/>
        <color rgb="FF000000"/>
        <sz val="9.0"/>
      </rPr>
      <t>105.25% → NG</t>
    </r>
  </si>
  <si>
    <t>C-3</t>
  </si>
  <si>
    <r>
      <rPr>
        <rFont val="Noto Sans CJK SC"/>
        <color rgb="FF000000"/>
        <sz val="8.0"/>
      </rPr>
      <t xml:space="preserve">自動判定 </t>
    </r>
    <r>
      <rPr>
        <rFont val="Yu Gothic"/>
        <color rgb="FF000000"/>
        <sz val="8.0"/>
      </rPr>
      <t>B20</t>
    </r>
    <r>
      <rPr>
        <rFont val="Noto Sans CJK SC"/>
        <color rgb="FF000000"/>
        <sz val="8.0"/>
      </rPr>
      <t>〜</t>
    </r>
    <r>
      <rPr>
        <rFont val="Yu Gothic"/>
        <color rgb="FF000000"/>
        <sz val="8.0"/>
      </rPr>
      <t>B22</t>
    </r>
  </si>
  <si>
    <t>データ完全性</t>
  </si>
  <si>
    <r>
      <rPr>
        <rFont val="Noto Sans CJK SC"/>
        <color rgb="FF000000"/>
        <sz val="9.0"/>
      </rPr>
      <t>口数が入っている行のうち、受取方法が空／表示</t>
    </r>
    <r>
      <rPr>
        <rFont val="Yu Gothic"/>
        <color rgb="FF000000"/>
        <sz val="9.0"/>
      </rPr>
      <t>PT</t>
    </r>
    <r>
      <rPr>
        <rFont val="Noto Sans CJK SC"/>
        <color rgb="FF000000"/>
        <sz val="9.0"/>
      </rPr>
      <t>が確定しない／実価値・送料が空（</t>
    </r>
    <r>
      <rPr>
        <rFont val="Yu Gothic"/>
        <color rgb="FF000000"/>
        <sz val="9.0"/>
      </rPr>
      <t>pt</t>
    </r>
    <r>
      <rPr>
        <rFont val="Noto Sans CJK SC"/>
        <color rgb="FF000000"/>
        <sz val="9.0"/>
      </rPr>
      <t>限定以外）の行数。</t>
    </r>
    <r>
      <rPr>
        <rFont val="Yu Gothic"/>
        <color rgb="FF000000"/>
        <sz val="9.0"/>
      </rPr>
      <t>1</t>
    </r>
    <r>
      <rPr>
        <rFont val="Noto Sans CJK SC"/>
        <color rgb="FF000000"/>
        <sz val="9.0"/>
      </rPr>
      <t>行でもあれば</t>
    </r>
    <r>
      <rPr>
        <rFont val="Yu Gothic"/>
        <color rgb="FF000000"/>
        <sz val="9.0"/>
      </rPr>
      <t>NG</t>
    </r>
    <r>
      <rPr>
        <rFont val="Noto Sans CJK SC"/>
        <color rgb="FF000000"/>
        <sz val="9.0"/>
      </rPr>
      <t>（判定が甘くなる穴を塞ぐ）</t>
    </r>
  </si>
  <si>
    <r>
      <rPr>
        <rFont val="Noto Sans CJK SC"/>
        <color rgb="FF1F3864"/>
        <sz val="8.0"/>
      </rPr>
      <t>＝</t>
    </r>
    <r>
      <rPr>
        <rFont val="Yu Gothic"/>
        <color rgb="FF1F3864"/>
        <sz val="8.0"/>
      </rPr>
      <t>SUMPRODUCT((D&lt;&gt;"")*(</t>
    </r>
    <r>
      <rPr>
        <rFont val="Noto Sans CJK SC"/>
        <color rgb="FF1F3864"/>
        <sz val="8.0"/>
      </rPr>
      <t>条件</t>
    </r>
    <r>
      <rPr>
        <rFont val="Yu Gothic"/>
        <color rgb="FF1F3864"/>
        <sz val="8.0"/>
      </rPr>
      <t>))</t>
    </r>
  </si>
  <si>
    <r>
      <rPr>
        <rFont val="Noto Sans CJK SC"/>
        <color rgb="FF000000"/>
        <sz val="9.0"/>
      </rPr>
      <t>デモは全て</t>
    </r>
    <r>
      <rPr>
        <rFont val="Yu Gothic"/>
        <color rgb="FF000000"/>
        <sz val="9.0"/>
      </rPr>
      <t>0</t>
    </r>
    <r>
      <rPr>
        <rFont val="Noto Sans CJK SC"/>
        <color rgb="FF000000"/>
        <sz val="9.0"/>
      </rPr>
      <t xml:space="preserve">行 → </t>
    </r>
    <r>
      <rPr>
        <rFont val="Yu Gothic"/>
        <color rgb="FF000000"/>
        <sz val="9.0"/>
      </rPr>
      <t>OK</t>
    </r>
  </si>
  <si>
    <t>C-4</t>
  </si>
  <si>
    <r>
      <rPr>
        <rFont val="Noto Sans CJK SC"/>
        <color rgb="FF000000"/>
        <sz val="8.0"/>
      </rPr>
      <t xml:space="preserve">自動判定 </t>
    </r>
    <r>
      <rPr>
        <rFont val="Yu Gothic"/>
        <color rgb="FF000000"/>
        <sz val="8.0"/>
      </rPr>
      <t>B23</t>
    </r>
  </si>
  <si>
    <t>在庫不足チェック</t>
  </si>
  <si>
    <r>
      <rPr>
        <rFont val="Noto Sans CJK SC"/>
        <color rgb="FF000000"/>
        <sz val="9.0"/>
      </rPr>
      <t>確保在庫（設計入力</t>
    </r>
    <r>
      <rPr>
        <rFont val="Yu Gothic"/>
        <color rgb="FF000000"/>
        <sz val="9.0"/>
      </rPr>
      <t>N</t>
    </r>
    <r>
      <rPr>
        <rFont val="Noto Sans CJK SC"/>
        <color rgb="FF000000"/>
        <sz val="9.0"/>
      </rPr>
      <t>列）を入れた行だけ、在庫＜口数なら</t>
    </r>
    <r>
      <rPr>
        <rFont val="Yu Gothic"/>
        <color rgb="FF000000"/>
        <sz val="9.0"/>
      </rPr>
      <t>NG</t>
    </r>
    <r>
      <rPr>
        <rFont val="Noto Sans CJK SC"/>
        <color rgb="FF000000"/>
        <sz val="9.0"/>
      </rPr>
      <t>。オーバーセル防止。</t>
    </r>
    <r>
      <rPr>
        <rFont val="Yu Gothic"/>
        <color rgb="FF000000"/>
        <sz val="9.0"/>
      </rPr>
      <t>N</t>
    </r>
    <r>
      <rPr>
        <rFont val="Noto Sans CJK SC"/>
        <color rgb="FF000000"/>
        <sz val="9.0"/>
      </rPr>
      <t>列が全部空なら未使用扱い</t>
    </r>
  </si>
  <si>
    <r>
      <rPr>
        <rFont val="Noto Sans CJK SC"/>
        <color rgb="FF1F3864"/>
        <sz val="8.0"/>
      </rPr>
      <t>＝</t>
    </r>
    <r>
      <rPr>
        <rFont val="Yu Gothic"/>
        <color rgb="FF1F3864"/>
        <sz val="8.0"/>
      </rPr>
      <t>SUMPRODUCT((N&lt;&gt;"")*(N&lt;D))</t>
    </r>
  </si>
  <si>
    <r>
      <rPr>
        <rFont val="Noto Sans CJK SC"/>
        <color rgb="FF000000"/>
        <sz val="9.0"/>
      </rPr>
      <t>デモは</t>
    </r>
    <r>
      <rPr>
        <rFont val="Yu Gothic"/>
        <color rgb="FF000000"/>
        <sz val="9.0"/>
      </rPr>
      <t>4</t>
    </r>
    <r>
      <rPr>
        <rFont val="Noto Sans CJK SC"/>
        <color rgb="FF000000"/>
        <sz val="9.0"/>
      </rPr>
      <t>行チェックして不足</t>
    </r>
    <r>
      <rPr>
        <rFont val="Yu Gothic"/>
        <color rgb="FF000000"/>
        <sz val="9.0"/>
      </rPr>
      <t>0 → OK</t>
    </r>
  </si>
  <si>
    <t>C-5</t>
  </si>
  <si>
    <r>
      <rPr>
        <rFont val="Noto Sans CJK SC"/>
        <color rgb="FF000000"/>
        <sz val="8.0"/>
      </rPr>
      <t xml:space="preserve">自動判定 </t>
    </r>
    <r>
      <rPr>
        <rFont val="Yu Gothic"/>
        <color rgb="FF000000"/>
        <sz val="8.0"/>
      </rPr>
      <t>B26</t>
    </r>
  </si>
  <si>
    <t>発送可能賞の実価値＋送料</t>
  </si>
  <si>
    <r>
      <rPr>
        <rFont val="Yu Gothic"/>
        <color rgb="FF000000"/>
        <sz val="9.0"/>
      </rPr>
      <t>pt</t>
    </r>
    <r>
      <rPr>
        <rFont val="Noto Sans CJK SC"/>
        <color rgb="FF000000"/>
        <sz val="9.0"/>
      </rPr>
      <t>限定以外（発送限定＋選択制）の実価値小計＋（口数</t>
    </r>
    <r>
      <rPr>
        <rFont val="Yu Gothic"/>
        <color rgb="FF000000"/>
        <sz val="9.0"/>
      </rPr>
      <t>×</t>
    </r>
    <r>
      <rPr>
        <rFont val="Noto Sans CJK SC"/>
        <color rgb="FF000000"/>
        <sz val="9.0"/>
      </rPr>
      <t>送料）の合計</t>
    </r>
  </si>
  <si>
    <r>
      <rPr>
        <rFont val="Noto Sans CJK SC"/>
        <color rgb="FF1F3864"/>
        <sz val="8.0"/>
      </rPr>
      <t>＝</t>
    </r>
    <r>
      <rPr>
        <rFont val="Yu Gothic"/>
        <color rgb="FF1F3864"/>
        <sz val="8.0"/>
      </rPr>
      <t>SUMIF(...)+SUMPRODUCT(...)</t>
    </r>
  </si>
  <si>
    <r>
      <rPr>
        <rFont val="Yu Gothic"/>
        <color rgb="FF000000"/>
        <sz val="9.0"/>
      </rPr>
      <t xml:space="preserve">3,210,000 </t>
    </r>
    <r>
      <rPr>
        <rFont val="Noto Sans CJK SC"/>
        <color rgb="FF000000"/>
        <sz val="9.0"/>
      </rPr>
      <t xml:space="preserve">＋ </t>
    </r>
    <r>
      <rPr>
        <rFont val="Yu Gothic"/>
        <color rgb="FF000000"/>
        <sz val="9.0"/>
      </rPr>
      <t xml:space="preserve">908,000 </t>
    </r>
    <r>
      <rPr>
        <rFont val="Noto Sans CJK SC"/>
        <color rgb="FF000000"/>
        <sz val="9.0"/>
      </rPr>
      <t xml:space="preserve">＝ </t>
    </r>
    <r>
      <rPr>
        <rFont val="Yu Gothic"/>
        <color rgb="FF000000"/>
        <sz val="9.0"/>
      </rPr>
      <t>4,118,000</t>
    </r>
    <r>
      <rPr>
        <rFont val="Noto Sans CJK SC"/>
        <color rgb="FF000000"/>
        <sz val="9.0"/>
      </rPr>
      <t>円</t>
    </r>
  </si>
  <si>
    <t>C-6</t>
  </si>
  <si>
    <r>
      <rPr>
        <rFont val="Noto Sans CJK SC"/>
        <color rgb="FF000000"/>
        <sz val="8.0"/>
      </rPr>
      <t xml:space="preserve">自動判定 </t>
    </r>
    <r>
      <rPr>
        <rFont val="Yu Gothic"/>
        <color rgb="FF000000"/>
        <sz val="8.0"/>
      </rPr>
      <t>B31</t>
    </r>
  </si>
  <si>
    <r>
      <rPr>
        <rFont val="Yu Gothic"/>
        <b/>
        <color rgb="FF000000"/>
        <sz val="9.0"/>
      </rPr>
      <t>S1</t>
    </r>
    <r>
      <rPr>
        <rFont val="Noto Sans CJK SC"/>
        <b/>
        <color rgb="FF000000"/>
        <sz val="9.0"/>
      </rPr>
      <t>：全員が発送</t>
    </r>
  </si>
  <si>
    <r>
      <rPr>
        <rFont val="Noto Sans CJK SC"/>
        <color rgb="FF000000"/>
        <sz val="9.0"/>
      </rPr>
      <t>売上 −（発送可能賞の実価値＋送料）−（</t>
    </r>
    <r>
      <rPr>
        <rFont val="Yu Gothic"/>
        <color rgb="FF000000"/>
        <sz val="9.0"/>
      </rPr>
      <t>pt</t>
    </r>
    <r>
      <rPr>
        <rFont val="Noto Sans CJK SC"/>
        <color rgb="FF000000"/>
        <sz val="9.0"/>
      </rPr>
      <t>限定の表示</t>
    </r>
    <r>
      <rPr>
        <rFont val="Yu Gothic"/>
        <color rgb="FF000000"/>
        <sz val="9.0"/>
      </rPr>
      <t xml:space="preserve">PT × </t>
    </r>
    <r>
      <rPr>
        <rFont val="Noto Sans CJK SC"/>
        <color rgb="FF000000"/>
        <sz val="9.0"/>
      </rPr>
      <t>原価率</t>
    </r>
    <r>
      <rPr>
        <rFont val="Yu Gothic"/>
        <color rgb="FF000000"/>
        <sz val="9.0"/>
      </rPr>
      <t>0.72</t>
    </r>
    <r>
      <rPr>
        <rFont val="Noto Sans CJK SC"/>
        <color rgb="FF000000"/>
        <sz val="9.0"/>
      </rPr>
      <t>）。物販として最悪のケース</t>
    </r>
  </si>
  <si>
    <r>
      <rPr>
        <rFont val="Noto Sans CJK SC"/>
        <color rgb="FF1F3864"/>
        <sz val="8.0"/>
      </rPr>
      <t>＝</t>
    </r>
    <r>
      <rPr>
        <rFont val="Yu Gothic"/>
        <color rgb="FF1F3864"/>
        <sz val="8.0"/>
      </rPr>
      <t>B6-B26-B28*</t>
    </r>
    <r>
      <rPr>
        <rFont val="Noto Sans CJK SC"/>
        <color rgb="FF1F3864"/>
        <sz val="8.0"/>
      </rPr>
      <t>原価率</t>
    </r>
  </si>
  <si>
    <r>
      <rPr>
        <rFont val="Yu Gothic"/>
        <color rgb="FF000000"/>
        <sz val="9.0"/>
      </rPr>
      <t xml:space="preserve">4,000,000 − 4,118,000 − 187,200 </t>
    </r>
    <r>
      <rPr>
        <rFont val="Noto Sans CJK SC"/>
        <color rgb="FF000000"/>
        <sz val="9.0"/>
      </rPr>
      <t>＝ ▲</t>
    </r>
    <r>
      <rPr>
        <rFont val="Yu Gothic"/>
        <color rgb="FF000000"/>
        <sz val="9.0"/>
      </rPr>
      <t>305,200</t>
    </r>
    <r>
      <rPr>
        <rFont val="Noto Sans CJK SC"/>
        <color rgb="FF000000"/>
        <sz val="9.0"/>
      </rPr>
      <t>円</t>
    </r>
  </si>
  <si>
    <t>C-7</t>
  </si>
  <si>
    <r>
      <rPr>
        <rFont val="Noto Sans CJK SC"/>
        <color rgb="FF000000"/>
        <sz val="8.0"/>
      </rPr>
      <t xml:space="preserve">自動判定 </t>
    </r>
    <r>
      <rPr>
        <rFont val="Yu Gothic"/>
        <color rgb="FF000000"/>
        <sz val="8.0"/>
      </rPr>
      <t>B32</t>
    </r>
  </si>
  <si>
    <r>
      <rPr>
        <rFont val="Yu Gothic"/>
        <b/>
        <color rgb="FF000000"/>
        <sz val="9.0"/>
      </rPr>
      <t>S2</t>
    </r>
    <r>
      <rPr>
        <rFont val="Noto Sans CJK SC"/>
        <b/>
        <color rgb="FF000000"/>
        <sz val="9.0"/>
      </rPr>
      <t>：全員</t>
    </r>
    <r>
      <rPr>
        <rFont val="Yu Gothic"/>
        <b/>
        <color rgb="FF000000"/>
        <sz val="9.0"/>
      </rPr>
      <t>pt</t>
    </r>
    <r>
      <rPr>
        <rFont val="Noto Sans CJK SC"/>
        <b/>
        <color rgb="FF000000"/>
        <sz val="9.0"/>
      </rPr>
      <t>変換（額面）</t>
    </r>
  </si>
  <si>
    <r>
      <rPr>
        <rFont val="Noto Sans CJK SC"/>
        <color rgb="FF000000"/>
        <sz val="9.0"/>
      </rPr>
      <t xml:space="preserve">売上 − 発送限定の実費 − </t>
    </r>
    <r>
      <rPr>
        <rFont val="Yu Gothic"/>
        <color rgb="FF000000"/>
        <sz val="9.0"/>
      </rPr>
      <t>pt</t>
    </r>
    <r>
      <rPr>
        <rFont val="Noto Sans CJK SC"/>
        <color rgb="FF000000"/>
        <sz val="9.0"/>
      </rPr>
      <t>限定の表示</t>
    </r>
    <r>
      <rPr>
        <rFont val="Yu Gothic"/>
        <color rgb="FF000000"/>
        <sz val="9.0"/>
      </rPr>
      <t xml:space="preserve">PT − </t>
    </r>
    <r>
      <rPr>
        <rFont val="Noto Sans CJK SC"/>
        <color rgb="FF000000"/>
        <sz val="9.0"/>
      </rPr>
      <t>選択制の表示</t>
    </r>
    <r>
      <rPr>
        <rFont val="Yu Gothic"/>
        <color rgb="FF000000"/>
        <sz val="9.0"/>
      </rPr>
      <t>PT</t>
    </r>
    <r>
      <rPr>
        <rFont val="Noto Sans CJK SC"/>
        <color rgb="FF000000"/>
        <sz val="9.0"/>
      </rPr>
      <t>。付与</t>
    </r>
    <r>
      <rPr>
        <rFont val="Yu Gothic"/>
        <color rgb="FF000000"/>
        <sz val="9.0"/>
      </rPr>
      <t>pt</t>
    </r>
    <r>
      <rPr>
        <rFont val="Noto Sans CJK SC"/>
        <color rgb="FF000000"/>
        <sz val="9.0"/>
      </rPr>
      <t>を</t>
    </r>
    <r>
      <rPr>
        <rFont val="Yu Gothic"/>
        <color rgb="FF000000"/>
        <sz val="9.0"/>
      </rPr>
      <t>1pt</t>
    </r>
    <r>
      <rPr>
        <rFont val="Noto Sans CJK SC"/>
        <color rgb="FF000000"/>
        <sz val="9.0"/>
      </rPr>
      <t>＝</t>
    </r>
    <r>
      <rPr>
        <rFont val="Yu Gothic"/>
        <color rgb="FF000000"/>
        <sz val="9.0"/>
      </rPr>
      <t>1</t>
    </r>
    <r>
      <rPr>
        <rFont val="Noto Sans CJK SC"/>
        <color rgb="FF000000"/>
        <sz val="9.0"/>
      </rPr>
      <t>円の負債と見る最悪ケース</t>
    </r>
  </si>
  <si>
    <r>
      <rPr>
        <rFont val="Noto Sans CJK SC"/>
        <color rgb="FF1F3864"/>
        <sz val="8.0"/>
      </rPr>
      <t>＝</t>
    </r>
    <r>
      <rPr>
        <rFont val="Yu Gothic"/>
        <color rgb="FF1F3864"/>
        <sz val="8.0"/>
      </rPr>
      <t>B6-B27-B28-B29</t>
    </r>
  </si>
  <si>
    <r>
      <rPr>
        <rFont val="Yu Gothic"/>
        <color rgb="FF000000"/>
        <sz val="9.0"/>
      </rPr>
      <t xml:space="preserve">4,000,000 − 181,500 − 260,000 − 3,870,000 </t>
    </r>
    <r>
      <rPr>
        <rFont val="Noto Sans CJK SC"/>
        <color rgb="FF000000"/>
        <sz val="9.0"/>
      </rPr>
      <t>＝ ▲</t>
    </r>
    <r>
      <rPr>
        <rFont val="Yu Gothic"/>
        <color rgb="FF000000"/>
        <sz val="9.0"/>
      </rPr>
      <t>311,500</t>
    </r>
    <r>
      <rPr>
        <rFont val="Noto Sans CJK SC"/>
        <color rgb="FF000000"/>
        <sz val="9.0"/>
      </rPr>
      <t>円</t>
    </r>
  </si>
  <si>
    <t>C-8</t>
  </si>
  <si>
    <r>
      <rPr>
        <rFont val="Noto Sans CJK SC"/>
        <color rgb="FF000000"/>
        <sz val="8.0"/>
      </rPr>
      <t xml:space="preserve">自動判定 </t>
    </r>
    <r>
      <rPr>
        <rFont val="Yu Gothic"/>
        <color rgb="FF000000"/>
        <sz val="8.0"/>
      </rPr>
      <t>B33</t>
    </r>
  </si>
  <si>
    <r>
      <rPr>
        <rFont val="Yu Gothic"/>
        <b/>
        <color rgb="FF000000"/>
        <sz val="9.0"/>
      </rPr>
      <t>S3</t>
    </r>
    <r>
      <rPr>
        <rFont val="Noto Sans CJK SC"/>
        <b/>
        <color rgb="FF000000"/>
        <sz val="9.0"/>
      </rPr>
      <t>：全員</t>
    </r>
    <r>
      <rPr>
        <rFont val="Yu Gothic"/>
        <b/>
        <color rgb="FF000000"/>
        <sz val="9.0"/>
      </rPr>
      <t>pt</t>
    </r>
    <r>
      <rPr>
        <rFont val="Noto Sans CJK SC"/>
        <b/>
        <color rgb="FF000000"/>
        <sz val="9.0"/>
      </rPr>
      <t>変換（実質原価）</t>
    </r>
  </si>
  <si>
    <r>
      <rPr>
        <rFont val="Noto Sans CJK SC"/>
        <color rgb="FF000000"/>
        <sz val="9.0"/>
      </rPr>
      <t>売上 − 発送限定の実費 −（</t>
    </r>
    <r>
      <rPr>
        <rFont val="Yu Gothic"/>
        <color rgb="FF000000"/>
        <sz val="9.0"/>
      </rPr>
      <t>pt</t>
    </r>
    <r>
      <rPr>
        <rFont val="Noto Sans CJK SC"/>
        <color rgb="FF000000"/>
        <sz val="9.0"/>
      </rPr>
      <t>限定＋選択制の表示</t>
    </r>
    <r>
      <rPr>
        <rFont val="Yu Gothic"/>
        <color rgb="FF000000"/>
        <sz val="9.0"/>
      </rPr>
      <t>PT</t>
    </r>
    <r>
      <rPr>
        <rFont val="Noto Sans CJK SC"/>
        <color rgb="FF000000"/>
        <sz val="9.0"/>
      </rPr>
      <t>）</t>
    </r>
    <r>
      <rPr>
        <rFont val="Yu Gothic"/>
        <color rgb="FF000000"/>
        <sz val="9.0"/>
      </rPr>
      <t xml:space="preserve">× </t>
    </r>
    <r>
      <rPr>
        <rFont val="Noto Sans CJK SC"/>
        <color rgb="FF000000"/>
        <sz val="9.0"/>
      </rPr>
      <t>原価率</t>
    </r>
    <r>
      <rPr>
        <rFont val="Yu Gothic"/>
        <color rgb="FF000000"/>
        <sz val="9.0"/>
      </rPr>
      <t>0.72</t>
    </r>
    <r>
      <rPr>
        <rFont val="Noto Sans CJK SC"/>
        <color rgb="FF000000"/>
        <sz val="9.0"/>
      </rPr>
      <t>。現実的なケース</t>
    </r>
  </si>
  <si>
    <r>
      <rPr>
        <rFont val="Noto Sans CJK SC"/>
        <color rgb="FF1F3864"/>
        <sz val="8.0"/>
      </rPr>
      <t>＝</t>
    </r>
    <r>
      <rPr>
        <rFont val="Yu Gothic"/>
        <color rgb="FF1F3864"/>
        <sz val="8.0"/>
      </rPr>
      <t>B6-B27-(B28+B29)*</t>
    </r>
    <r>
      <rPr>
        <rFont val="Noto Sans CJK SC"/>
        <color rgb="FF1F3864"/>
        <sz val="8.0"/>
      </rPr>
      <t>原価率</t>
    </r>
  </si>
  <si>
    <r>
      <rPr>
        <rFont val="Yu Gothic"/>
        <color rgb="FF000000"/>
        <sz val="9.0"/>
      </rPr>
      <t xml:space="preserve">4,000,000 − 181,500 − 2,973,600 </t>
    </r>
    <r>
      <rPr>
        <rFont val="Noto Sans CJK SC"/>
        <color rgb="FF000000"/>
        <sz val="9.0"/>
      </rPr>
      <t>＝ ＋</t>
    </r>
    <r>
      <rPr>
        <rFont val="Yu Gothic"/>
        <color rgb="FF000000"/>
        <sz val="9.0"/>
      </rPr>
      <t>844,900</t>
    </r>
    <r>
      <rPr>
        <rFont val="Noto Sans CJK SC"/>
        <color rgb="FF000000"/>
        <sz val="9.0"/>
      </rPr>
      <t>円</t>
    </r>
  </si>
  <si>
    <t>C-9</t>
  </si>
  <si>
    <r>
      <rPr>
        <rFont val="Noto Sans CJK SC"/>
        <color rgb="FF000000"/>
        <sz val="8.0"/>
      </rPr>
      <t xml:space="preserve">自動判定 </t>
    </r>
    <r>
      <rPr>
        <rFont val="Yu Gothic"/>
        <color rgb="FF000000"/>
        <sz val="8.0"/>
      </rPr>
      <t>B35</t>
    </r>
  </si>
  <si>
    <r>
      <rPr>
        <rFont val="Yu Gothic"/>
        <b/>
        <color rgb="FF000000"/>
        <sz val="9.0"/>
      </rPr>
      <t>S4</t>
    </r>
    <r>
      <rPr>
        <rFont val="Noto Sans CJK SC"/>
        <b/>
        <color rgb="FF000000"/>
        <sz val="9.0"/>
      </rPr>
      <t>：実測変換率での損益</t>
    </r>
  </si>
  <si>
    <r>
      <rPr>
        <rFont val="Noto Sans CJK SC"/>
        <color rgb="FF000000"/>
        <sz val="9.0"/>
      </rPr>
      <t>売上 − 発送限定実費 −（発送を選んだ分の実費）−（</t>
    </r>
    <r>
      <rPr>
        <rFont val="Yu Gothic"/>
        <color rgb="FF000000"/>
        <sz val="9.0"/>
      </rPr>
      <t>pt</t>
    </r>
    <r>
      <rPr>
        <rFont val="Noto Sans CJK SC"/>
        <color rgb="FF000000"/>
        <sz val="9.0"/>
      </rPr>
      <t>変換分</t>
    </r>
    <r>
      <rPr>
        <rFont val="Yu Gothic"/>
        <color rgb="FF000000"/>
        <sz val="9.0"/>
      </rPr>
      <t>×0.72</t>
    </r>
    <r>
      <rPr>
        <rFont val="Noto Sans CJK SC"/>
        <color rgb="FF000000"/>
        <sz val="9.0"/>
      </rPr>
      <t>）−（</t>
    </r>
    <r>
      <rPr>
        <rFont val="Yu Gothic"/>
        <color rgb="FF000000"/>
        <sz val="9.0"/>
      </rPr>
      <t>pt</t>
    </r>
    <r>
      <rPr>
        <rFont val="Noto Sans CJK SC"/>
        <color rgb="FF000000"/>
        <sz val="9.0"/>
      </rPr>
      <t>限定</t>
    </r>
    <r>
      <rPr>
        <rFont val="Yu Gothic"/>
        <color rgb="FF000000"/>
        <sz val="9.0"/>
      </rPr>
      <t>×0.72</t>
    </r>
    <r>
      <rPr>
        <rFont val="Noto Sans CJK SC"/>
        <color rgb="FF000000"/>
        <sz val="9.0"/>
      </rPr>
      <t>）。変換率</t>
    </r>
    <r>
      <rPr>
        <rFont val="Yu Gothic"/>
        <color rgb="FF000000"/>
        <sz val="9.0"/>
      </rPr>
      <t>r</t>
    </r>
    <r>
      <rPr>
        <rFont val="Noto Sans CJK SC"/>
        <color rgb="FF000000"/>
        <sz val="9.0"/>
      </rPr>
      <t>は運用データで更新</t>
    </r>
  </si>
  <si>
    <r>
      <rPr>
        <rFont val="Noto Sans CJK SC"/>
        <color rgb="FF1F3864"/>
        <sz val="8.0"/>
      </rPr>
      <t>＝</t>
    </r>
    <r>
      <rPr>
        <rFont val="Yu Gothic"/>
        <color rgb="FF1F3864"/>
        <sz val="8.0"/>
      </rPr>
      <t>B6-B27-(1-r)*B30-r*B29*</t>
    </r>
    <r>
      <rPr>
        <rFont val="Noto Sans CJK SC"/>
        <color rgb="FF1F3864"/>
        <sz val="8.0"/>
      </rPr>
      <t>原価率</t>
    </r>
    <r>
      <rPr>
        <rFont val="Yu Gothic"/>
        <color rgb="FF1F3864"/>
        <sz val="8.0"/>
      </rPr>
      <t>-B28*</t>
    </r>
    <r>
      <rPr>
        <rFont val="Noto Sans CJK SC"/>
        <color rgb="FF1F3864"/>
        <sz val="8.0"/>
      </rPr>
      <t>原価率</t>
    </r>
  </si>
  <si>
    <r>
      <rPr>
        <rFont val="Yu Gothic"/>
        <color rgb="FF000000"/>
        <sz val="9.0"/>
      </rPr>
      <t>r</t>
    </r>
    <r>
      <rPr>
        <rFont val="Noto Sans CJK SC"/>
        <color rgb="FF000000"/>
        <sz val="9.0"/>
      </rPr>
      <t>＝</t>
    </r>
    <r>
      <rPr>
        <rFont val="Yu Gothic"/>
        <color rgb="FF000000"/>
        <sz val="9.0"/>
      </rPr>
      <t xml:space="preserve">0.9 </t>
    </r>
    <r>
      <rPr>
        <rFont val="Noto Sans CJK SC"/>
        <color rgb="FF000000"/>
        <sz val="9.0"/>
      </rPr>
      <t>で ＋</t>
    </r>
    <r>
      <rPr>
        <rFont val="Yu Gothic"/>
        <color rgb="FF000000"/>
        <sz val="9.0"/>
      </rPr>
      <t>729,890</t>
    </r>
    <r>
      <rPr>
        <rFont val="Noto Sans CJK SC"/>
        <color rgb="FF000000"/>
        <sz val="9.0"/>
      </rPr>
      <t>円</t>
    </r>
  </si>
  <si>
    <t>C-10</t>
  </si>
  <si>
    <r>
      <rPr>
        <rFont val="Noto Sans CJK SC"/>
        <color rgb="FF000000"/>
        <sz val="8.0"/>
      </rPr>
      <t xml:space="preserve">自動判定 </t>
    </r>
    <r>
      <rPr>
        <rFont val="Yu Gothic"/>
        <color rgb="FF000000"/>
        <sz val="8.0"/>
      </rPr>
      <t>B36</t>
    </r>
  </si>
  <si>
    <t>最大損失</t>
  </si>
  <si>
    <r>
      <rPr>
        <rFont val="Yu Gothic"/>
        <color rgb="FF000000"/>
        <sz val="9.0"/>
      </rPr>
      <t>S1</t>
    </r>
    <r>
      <rPr>
        <rFont val="Noto Sans CJK SC"/>
        <color rgb="FF000000"/>
        <sz val="9.0"/>
      </rPr>
      <t>〜</t>
    </r>
    <r>
      <rPr>
        <rFont val="Yu Gothic"/>
        <color rgb="FF000000"/>
        <sz val="9.0"/>
      </rPr>
      <t>S3</t>
    </r>
    <r>
      <rPr>
        <rFont val="Noto Sans CJK SC"/>
        <color rgb="FF000000"/>
        <sz val="9.0"/>
      </rPr>
      <t>のいちばん小さい値。どのシナリオでもこれ以上は損しない下限</t>
    </r>
  </si>
  <si>
    <r>
      <rPr>
        <rFont val="Noto Sans CJK SC"/>
        <color rgb="FF1F3864"/>
        <sz val="8.0"/>
      </rPr>
      <t>＝</t>
    </r>
    <r>
      <rPr>
        <rFont val="Yu Gothic"/>
        <color rgb="FF1F3864"/>
        <sz val="8.0"/>
      </rPr>
      <t>MIN(S1:S3)</t>
    </r>
  </si>
  <si>
    <r>
      <rPr>
        <rFont val="Yu Gothic"/>
        <color rgb="FF000000"/>
        <sz val="9.0"/>
      </rPr>
      <t>▲311,500</t>
    </r>
    <r>
      <rPr>
        <rFont val="Noto Sans CJK SC"/>
        <color rgb="FF000000"/>
        <sz val="9.0"/>
      </rPr>
      <t>円 → 許容ライン▲</t>
    </r>
    <r>
      <rPr>
        <rFont val="Yu Gothic"/>
        <color rgb="FF000000"/>
        <sz val="9.0"/>
      </rPr>
      <t>3,000,000</t>
    </r>
    <r>
      <rPr>
        <rFont val="Noto Sans CJK SC"/>
        <color rgb="FF000000"/>
        <sz val="9.0"/>
      </rPr>
      <t>円の範囲内で</t>
    </r>
    <r>
      <rPr>
        <rFont val="Yu Gothic"/>
        <color rgb="FF000000"/>
        <sz val="9.0"/>
      </rPr>
      <t>OK</t>
    </r>
  </si>
  <si>
    <t>C-11</t>
  </si>
  <si>
    <r>
      <rPr>
        <rFont val="Noto Sans CJK SC"/>
        <color rgb="FF000000"/>
        <sz val="8.0"/>
      </rPr>
      <t xml:space="preserve">自動判定 </t>
    </r>
    <r>
      <rPr>
        <rFont val="Yu Gothic"/>
        <color rgb="FF000000"/>
        <sz val="8.0"/>
      </rPr>
      <t>B47</t>
    </r>
  </si>
  <si>
    <t>仮名称・デモ名カウント</t>
  </si>
  <si>
    <r>
      <rPr>
        <rFont val="Noto Sans CJK SC"/>
        <color rgb="FF000000"/>
        <sz val="9.0"/>
      </rPr>
      <t>賞品名に なにか</t>
    </r>
    <r>
      <rPr>
        <rFont val="Yu Gothic"/>
        <color rgb="FF000000"/>
        <sz val="9.0"/>
      </rPr>
      <t>/TBD/</t>
    </r>
    <r>
      <rPr>
        <rFont val="Noto Sans CJK SC"/>
        <color rgb="FF000000"/>
        <sz val="9.0"/>
      </rPr>
      <t>テスト</t>
    </r>
    <r>
      <rPr>
        <rFont val="Yu Gothic"/>
        <color rgb="FF000000"/>
        <sz val="9.0"/>
      </rPr>
      <t>/</t>
    </r>
    <r>
      <rPr>
        <rFont val="Noto Sans CJK SC"/>
        <color rgb="FF000000"/>
        <sz val="9.0"/>
      </rPr>
      <t>仮</t>
    </r>
    <r>
      <rPr>
        <rFont val="Yu Gothic"/>
        <color rgb="FF000000"/>
        <sz val="9.0"/>
      </rPr>
      <t>/</t>
    </r>
    <r>
      <rPr>
        <rFont val="Noto Sans CJK SC"/>
        <color rgb="FF000000"/>
        <sz val="9.0"/>
      </rPr>
      <t>デモ</t>
    </r>
    <r>
      <rPr>
        <rFont val="Yu Gothic"/>
        <color rgb="FF000000"/>
        <sz val="9.0"/>
      </rPr>
      <t>/</t>
    </r>
    <r>
      <rPr>
        <rFont val="Noto Sans CJK SC"/>
        <color rgb="FF000000"/>
        <sz val="9.0"/>
      </rPr>
      <t>サンプル</t>
    </r>
    <r>
      <rPr>
        <rFont val="Yu Gothic"/>
        <color rgb="FF000000"/>
        <sz val="9.0"/>
      </rPr>
      <t>/</t>
    </r>
    <r>
      <rPr>
        <rFont val="Noto Sans CJK SC"/>
        <color rgb="FF000000"/>
        <sz val="9.0"/>
      </rPr>
      <t>ダミー</t>
    </r>
    <r>
      <rPr>
        <rFont val="Yu Gothic"/>
        <color rgb="FF000000"/>
        <sz val="9.0"/>
      </rPr>
      <t xml:space="preserve">/test </t>
    </r>
    <r>
      <rPr>
        <rFont val="Noto Sans CJK SC"/>
        <color rgb="FF000000"/>
        <sz val="9.0"/>
      </rPr>
      <t>を含む行数（「仮面」は除外）。</t>
    </r>
    <r>
      <rPr>
        <rFont val="Yu Gothic"/>
        <color rgb="FF000000"/>
        <sz val="9.0"/>
      </rPr>
      <t>1</t>
    </r>
    <r>
      <rPr>
        <rFont val="Noto Sans CJK SC"/>
        <color rgb="FF000000"/>
        <sz val="9.0"/>
      </rPr>
      <t>件でも</t>
    </r>
    <r>
      <rPr>
        <rFont val="Yu Gothic"/>
        <color rgb="FF000000"/>
        <sz val="9.0"/>
      </rPr>
      <t>NG</t>
    </r>
  </si>
  <si>
    <r>
      <rPr>
        <rFont val="Noto Sans CJK SC"/>
        <color rgb="FF1F3864"/>
        <sz val="8.0"/>
      </rPr>
      <t>＝</t>
    </r>
    <r>
      <rPr>
        <rFont val="Yu Gothic"/>
        <color rgb="FF1F3864"/>
        <sz val="8.0"/>
      </rPr>
      <t>ΣSUMPRODUCT(SEARCH(</t>
    </r>
    <r>
      <rPr>
        <rFont val="Noto Sans CJK SC"/>
        <color rgb="FF1F3864"/>
        <sz val="8.0"/>
      </rPr>
      <t>語</t>
    </r>
    <r>
      <rPr>
        <rFont val="Yu Gothic"/>
        <color rgb="FF1F3864"/>
        <sz val="8.0"/>
      </rPr>
      <t>))−SEARCH("</t>
    </r>
    <r>
      <rPr>
        <rFont val="Noto Sans CJK SC"/>
        <color rgb="FF1F3864"/>
        <sz val="8.0"/>
      </rPr>
      <t>仮面</t>
    </r>
    <r>
      <rPr>
        <rFont val="Yu Gothic"/>
        <color rgb="FF1F3864"/>
        <sz val="8.0"/>
      </rPr>
      <t>")</t>
    </r>
    <r>
      <rPr>
        <rFont val="Noto Sans CJK SC"/>
        <color rgb="FF1F3864"/>
        <sz val="8.0"/>
      </rPr>
      <t>分</t>
    </r>
  </si>
  <si>
    <r>
      <rPr>
        <rFont val="Noto Sans CJK SC"/>
        <color rgb="FF000000"/>
        <sz val="9.0"/>
      </rPr>
      <t>デモは「デモ」</t>
    </r>
    <r>
      <rPr>
        <rFont val="Yu Gothic"/>
        <color rgb="FF000000"/>
        <sz val="9.0"/>
      </rPr>
      <t>5</t>
    </r>
    <r>
      <rPr>
        <rFont val="Noto Sans CJK SC"/>
        <color rgb="FF000000"/>
        <sz val="9.0"/>
      </rPr>
      <t>件 → 意図どおり</t>
    </r>
    <r>
      <rPr>
        <rFont val="Yu Gothic"/>
        <color rgb="FF000000"/>
        <sz val="9.0"/>
      </rPr>
      <t>NG</t>
    </r>
  </si>
  <si>
    <r>
      <rPr>
        <rFont val="Yu Gothic"/>
        <b/>
        <color rgb="FF000000"/>
        <sz val="10.0"/>
      </rPr>
      <t xml:space="preserve">D. </t>
    </r>
    <r>
      <rPr>
        <rFont val="Noto Sans CJK SC"/>
        <b/>
        <color rgb="FF000000"/>
        <sz val="10.0"/>
      </rPr>
      <t>自動判定シートの式（途中終了リスク＝売れ止まり</t>
    </r>
    <r>
      <rPr>
        <rFont val="Yu Gothic"/>
        <b/>
        <color rgb="FF000000"/>
        <sz val="10.0"/>
      </rPr>
      <t>×</t>
    </r>
    <r>
      <rPr>
        <rFont val="Noto Sans CJK SC"/>
        <b/>
        <color rgb="FF000000"/>
        <sz val="10.0"/>
      </rPr>
      <t>上位賞先出し）</t>
    </r>
  </si>
  <si>
    <t>D-1</t>
  </si>
  <si>
    <r>
      <rPr>
        <rFont val="Noto Sans CJK SC"/>
        <color rgb="FF000000"/>
        <sz val="8.0"/>
      </rPr>
      <t xml:space="preserve">自動判定 </t>
    </r>
    <r>
      <rPr>
        <rFont val="Yu Gothic"/>
        <color rgb="FF000000"/>
        <sz val="8.0"/>
      </rPr>
      <t>B40</t>
    </r>
    <r>
      <rPr>
        <rFont val="Noto Sans CJK SC"/>
        <color rgb="FF000000"/>
        <sz val="8.0"/>
      </rPr>
      <t>・</t>
    </r>
    <r>
      <rPr>
        <rFont val="Yu Gothic"/>
        <color rgb="FF000000"/>
        <sz val="8.0"/>
      </rPr>
      <t>B41</t>
    </r>
  </si>
  <si>
    <t>上位賞の口数と最悪費用</t>
  </si>
  <si>
    <r>
      <rPr>
        <rFont val="Noto Sans CJK SC"/>
        <color rgb="FF000000"/>
        <sz val="9.0"/>
      </rPr>
      <t>上位賞＝</t>
    </r>
    <r>
      <rPr>
        <rFont val="Yu Gothic"/>
        <color rgb="FF000000"/>
        <sz val="9.0"/>
      </rPr>
      <t>pt</t>
    </r>
    <r>
      <rPr>
        <rFont val="Noto Sans CJK SC"/>
        <color rgb="FF000000"/>
        <sz val="9.0"/>
      </rPr>
      <t>限定以外の全部。最悪費用＝発送限定の実費＋</t>
    </r>
    <r>
      <rPr>
        <rFont val="Yu Gothic"/>
        <color rgb="FF000000"/>
        <sz val="9.0"/>
      </rPr>
      <t>MAX(</t>
    </r>
    <r>
      <rPr>
        <rFont val="Noto Sans CJK SC"/>
        <color rgb="FF000000"/>
        <sz val="9.0"/>
      </rPr>
      <t>選択制の実費</t>
    </r>
    <r>
      <rPr>
        <rFont val="Yu Gothic"/>
        <color rgb="FF000000"/>
        <sz val="9.0"/>
      </rPr>
      <t xml:space="preserve">, </t>
    </r>
    <r>
      <rPr>
        <rFont val="Noto Sans CJK SC"/>
        <color rgb="FF000000"/>
        <sz val="9.0"/>
      </rPr>
      <t>選択制の額面</t>
    </r>
    <r>
      <rPr>
        <rFont val="Yu Gothic"/>
        <color rgb="FF000000"/>
        <sz val="9.0"/>
      </rPr>
      <t>pt)</t>
    </r>
    <r>
      <rPr>
        <rFont val="Noto Sans CJK SC"/>
        <color rgb="FF000000"/>
        <sz val="9.0"/>
      </rPr>
      <t>。「高い方」で見る保守評価</t>
    </r>
  </si>
  <si>
    <r>
      <rPr>
        <rFont val="Noto Sans CJK SC"/>
        <color rgb="FF1F3864"/>
        <sz val="8.0"/>
      </rPr>
      <t>＝</t>
    </r>
    <r>
      <rPr>
        <rFont val="Yu Gothic"/>
        <color rgb="FF1F3864"/>
        <sz val="8.0"/>
      </rPr>
      <t>B27+MAX(B30,B29)</t>
    </r>
  </si>
  <si>
    <r>
      <rPr>
        <rFont val="Yu Gothic"/>
        <color rgb="FF000000"/>
        <sz val="9.0"/>
      </rPr>
      <t xml:space="preserve">181,500 </t>
    </r>
    <r>
      <rPr>
        <rFont val="Noto Sans CJK SC"/>
        <color rgb="FF000000"/>
        <sz val="9.0"/>
      </rPr>
      <t xml:space="preserve">＋ </t>
    </r>
    <r>
      <rPr>
        <rFont val="Yu Gothic"/>
        <color rgb="FF000000"/>
        <sz val="9.0"/>
      </rPr>
      <t xml:space="preserve">MAX(3,936,500, 3,870,000) </t>
    </r>
    <r>
      <rPr>
        <rFont val="Noto Sans CJK SC"/>
        <color rgb="FF000000"/>
        <sz val="9.0"/>
      </rPr>
      <t xml:space="preserve">＝ </t>
    </r>
    <r>
      <rPr>
        <rFont val="Yu Gothic"/>
        <color rgb="FF000000"/>
        <sz val="9.0"/>
      </rPr>
      <t>4,118,000</t>
    </r>
    <r>
      <rPr>
        <rFont val="Noto Sans CJK SC"/>
        <color rgb="FF000000"/>
        <sz val="9.0"/>
      </rPr>
      <t>円</t>
    </r>
  </si>
  <si>
    <t>D-2</t>
  </si>
  <si>
    <r>
      <rPr>
        <rFont val="Noto Sans CJK SC"/>
        <color rgb="FF000000"/>
        <sz val="8.0"/>
      </rPr>
      <t xml:space="preserve">自動判定 </t>
    </r>
    <r>
      <rPr>
        <rFont val="Yu Gothic"/>
        <color rgb="FF000000"/>
        <sz val="8.0"/>
      </rPr>
      <t>B42</t>
    </r>
  </si>
  <si>
    <r>
      <rPr>
        <rFont val="Noto Sans CJK SC"/>
        <color rgb="FF000000"/>
        <sz val="9.0"/>
      </rPr>
      <t xml:space="preserve">上位賞の最悪費用 </t>
    </r>
    <r>
      <rPr>
        <rFont val="Yu Gothic"/>
        <color rgb="FF000000"/>
        <sz val="9.0"/>
      </rPr>
      <t xml:space="preserve">÷ </t>
    </r>
    <r>
      <rPr>
        <rFont val="Noto Sans CJK SC"/>
        <color rgb="FF000000"/>
        <sz val="9.0"/>
      </rPr>
      <t>総売上。これ以上売れていれば、上位賞が全部先に出ても赤字なし。</t>
    </r>
    <r>
      <rPr>
        <rFont val="Yu Gothic"/>
        <color rgb="FF000000"/>
        <sz val="9.0"/>
      </rPr>
      <t>100%</t>
    </r>
    <r>
      <rPr>
        <rFont val="Noto Sans CJK SC"/>
        <color rgb="FF000000"/>
        <sz val="9.0"/>
      </rPr>
      <t>超＝完売でも額面最悪は赤字（</t>
    </r>
    <r>
      <rPr>
        <rFont val="Yu Gothic"/>
        <color rgb="FF000000"/>
        <sz val="9.0"/>
      </rPr>
      <t>S2</t>
    </r>
    <r>
      <rPr>
        <rFont val="Noto Sans CJK SC"/>
        <color rgb="FF000000"/>
        <sz val="9.0"/>
      </rPr>
      <t>と同じ話）</t>
    </r>
  </si>
  <si>
    <r>
      <rPr>
        <rFont val="Noto Sans CJK SC"/>
        <color rgb="FF1F3864"/>
        <sz val="8.0"/>
      </rPr>
      <t>＝</t>
    </r>
    <r>
      <rPr>
        <rFont val="Yu Gothic"/>
        <color rgb="FF1F3864"/>
        <sz val="8.0"/>
      </rPr>
      <t>B41/B6</t>
    </r>
  </si>
  <si>
    <r>
      <rPr>
        <rFont val="Yu Gothic"/>
        <color rgb="FF000000"/>
        <sz val="9.0"/>
      </rPr>
      <t xml:space="preserve">4,118,000 ÷ 4,000,000 </t>
    </r>
    <r>
      <rPr>
        <rFont val="Noto Sans CJK SC"/>
        <color rgb="FF000000"/>
        <sz val="9.0"/>
      </rPr>
      <t xml:space="preserve">＝ </t>
    </r>
    <r>
      <rPr>
        <rFont val="Yu Gothic"/>
        <color rgb="FF000000"/>
        <sz val="9.0"/>
      </rPr>
      <t xml:space="preserve">103.0% → </t>
    </r>
    <r>
      <rPr>
        <rFont val="Noto Sans CJK SC"/>
        <color rgb="FF000000"/>
        <sz val="9.0"/>
      </rPr>
      <t>デモは完売でも額面最悪は赤字</t>
    </r>
  </si>
  <si>
    <t>D-3</t>
  </si>
  <si>
    <r>
      <rPr>
        <rFont val="Noto Sans CJK SC"/>
        <color rgb="FF000000"/>
        <sz val="8.0"/>
      </rPr>
      <t xml:space="preserve">自動判定 </t>
    </r>
    <r>
      <rPr>
        <rFont val="Yu Gothic"/>
        <color rgb="FF000000"/>
        <sz val="8.0"/>
      </rPr>
      <t>B44</t>
    </r>
  </si>
  <si>
    <t>想定進捗での最悪損益</t>
  </si>
  <si>
    <r>
      <rPr>
        <rFont val="Noto Sans CJK SC"/>
        <color rgb="FF000000"/>
        <sz val="9.0"/>
      </rPr>
      <t>想定進捗</t>
    </r>
    <r>
      <rPr>
        <rFont val="Yu Gothic"/>
        <color rgb="FF000000"/>
        <sz val="9.0"/>
      </rPr>
      <t>p</t>
    </r>
    <r>
      <rPr>
        <rFont val="Noto Sans CJK SC"/>
        <color rgb="FF000000"/>
        <sz val="9.0"/>
      </rPr>
      <t>（入力・既定</t>
    </r>
    <r>
      <rPr>
        <rFont val="Yu Gothic"/>
        <color rgb="FF000000"/>
        <sz val="9.0"/>
      </rPr>
      <t>30%</t>
    </r>
    <r>
      <rPr>
        <rFont val="Noto Sans CJK SC"/>
        <color rgb="FF000000"/>
        <sz val="9.0"/>
      </rPr>
      <t>）で売れ止まり、かつ上位賞が全部出ていた場合。＝</t>
    </r>
    <r>
      <rPr>
        <rFont val="Yu Gothic"/>
        <color rgb="FF000000"/>
        <sz val="9.0"/>
      </rPr>
      <t>p×</t>
    </r>
    <r>
      <rPr>
        <rFont val="Noto Sans CJK SC"/>
        <color rgb="FF000000"/>
        <sz val="9.0"/>
      </rPr>
      <t>総売上 − 上位賞最悪費用 − 保証の消化分（</t>
    </r>
    <r>
      <rPr>
        <rFont val="Yu Gothic"/>
        <color rgb="FF000000"/>
        <sz val="9.0"/>
      </rPr>
      <t>p×</t>
    </r>
    <r>
      <rPr>
        <rFont val="Noto Sans CJK SC"/>
        <color rgb="FF000000"/>
        <sz val="9.0"/>
      </rPr>
      <t>総口数が上位口数を超えた分</t>
    </r>
    <r>
      <rPr>
        <rFont val="Yu Gothic"/>
        <color rgb="FF000000"/>
        <sz val="9.0"/>
      </rPr>
      <t>×</t>
    </r>
    <r>
      <rPr>
        <rFont val="Noto Sans CJK SC"/>
        <color rgb="FF000000"/>
        <sz val="9.0"/>
      </rPr>
      <t>平均保証</t>
    </r>
    <r>
      <rPr>
        <rFont val="Yu Gothic"/>
        <color rgb="FF000000"/>
        <sz val="9.0"/>
      </rPr>
      <t>pt</t>
    </r>
    <r>
      <rPr>
        <rFont val="Noto Sans CJK SC"/>
        <color rgb="FF000000"/>
        <sz val="9.0"/>
      </rPr>
      <t>）。赤字が許容ライン内なら注意、超えたら</t>
    </r>
    <r>
      <rPr>
        <rFont val="Yu Gothic"/>
        <color rgb="FF000000"/>
        <sz val="9.0"/>
      </rPr>
      <t>NG</t>
    </r>
  </si>
  <si>
    <r>
      <rPr>
        <rFont val="Noto Sans CJK SC"/>
        <color rgb="FF1F3864"/>
        <sz val="8.0"/>
      </rPr>
      <t>＝</t>
    </r>
    <r>
      <rPr>
        <rFont val="Yu Gothic"/>
        <color rgb="FF1F3864"/>
        <sz val="8.0"/>
      </rPr>
      <t>p*B6-B41-MAX(0,p*</t>
    </r>
    <r>
      <rPr>
        <rFont val="Noto Sans CJK SC"/>
        <color rgb="FF1F3864"/>
        <sz val="8.0"/>
      </rPr>
      <t>総口数</t>
    </r>
    <r>
      <rPr>
        <rFont val="Yu Gothic"/>
        <color rgb="FF1F3864"/>
        <sz val="8.0"/>
      </rPr>
      <t>-B40)*</t>
    </r>
    <r>
      <rPr>
        <rFont val="Noto Sans CJK SC"/>
        <color rgb="FF1F3864"/>
        <sz val="8.0"/>
      </rPr>
      <t>平均保証</t>
    </r>
    <r>
      <rPr>
        <rFont val="Yu Gothic"/>
        <color rgb="FF1F3864"/>
        <sz val="8.0"/>
      </rPr>
      <t>pt</t>
    </r>
  </si>
  <si>
    <r>
      <rPr>
        <rFont val="Yu Gothic"/>
        <color rgb="FF000000"/>
        <sz val="9.0"/>
      </rPr>
      <t>30%×4,000,000 − 4,118,000 − 500</t>
    </r>
    <r>
      <rPr>
        <rFont val="Noto Sans CJK SC"/>
        <color rgb="FF000000"/>
        <sz val="9.0"/>
      </rPr>
      <t>口</t>
    </r>
    <r>
      <rPr>
        <rFont val="Yu Gothic"/>
        <color rgb="FF000000"/>
        <sz val="9.0"/>
      </rPr>
      <t xml:space="preserve">×65 </t>
    </r>
    <r>
      <rPr>
        <rFont val="Noto Sans CJK SC"/>
        <color rgb="FF000000"/>
        <sz val="9.0"/>
      </rPr>
      <t>＝ ▲</t>
    </r>
    <r>
      <rPr>
        <rFont val="Yu Gothic"/>
        <color rgb="FF000000"/>
        <sz val="9.0"/>
      </rPr>
      <t>2,950,500</t>
    </r>
    <r>
      <rPr>
        <rFont val="Noto Sans CJK SC"/>
        <color rgb="FF000000"/>
        <sz val="9.0"/>
      </rPr>
      <t>円 → 許容内なので注意</t>
    </r>
  </si>
  <si>
    <r>
      <rPr>
        <rFont val="Yu Gothic"/>
        <b/>
        <color rgb="FF000000"/>
        <sz val="10.0"/>
      </rPr>
      <t xml:space="preserve">E. </t>
    </r>
    <r>
      <rPr>
        <rFont val="Noto Sans CJK SC"/>
        <b/>
        <color rgb="FF000000"/>
        <sz val="10.0"/>
      </rPr>
      <t>公開前チェックシートの式</t>
    </r>
  </si>
  <si>
    <t>E-1</t>
  </si>
  <si>
    <r>
      <rPr>
        <rFont val="Noto Sans CJK SC"/>
        <color rgb="FF000000"/>
        <sz val="8.0"/>
      </rPr>
      <t xml:space="preserve">公開前 </t>
    </r>
    <r>
      <rPr>
        <rFont val="Yu Gothic"/>
        <color rgb="FF000000"/>
        <sz val="8.0"/>
      </rPr>
      <t>C5</t>
    </r>
  </si>
  <si>
    <t>実装の総還元率</t>
  </si>
  <si>
    <r>
      <rPr>
        <rFont val="Noto Sans CJK SC"/>
        <color rgb="FF000000"/>
        <sz val="9.0"/>
      </rPr>
      <t>自動判定の総還元率をそのまま参照。バナー値との差が−</t>
    </r>
    <r>
      <rPr>
        <rFont val="Yu Gothic"/>
        <color rgb="FF000000"/>
        <sz val="9.0"/>
      </rPr>
      <t>0.49pt</t>
    </r>
    <r>
      <rPr>
        <rFont val="Noto Sans CJK SC"/>
        <color rgb="FF000000"/>
        <sz val="9.0"/>
      </rPr>
      <t>以内なら</t>
    </r>
    <r>
      <rPr>
        <rFont val="Yu Gothic"/>
        <color rgb="FF000000"/>
        <sz val="9.0"/>
      </rPr>
      <t>OK</t>
    </r>
  </si>
  <si>
    <r>
      <rPr>
        <rFont val="Noto Sans CJK SC"/>
        <color rgb="FF1F3864"/>
        <sz val="8.0"/>
      </rPr>
      <t>＝</t>
    </r>
    <r>
      <rPr>
        <rFont val="Yu Gothic"/>
        <color rgb="FF1F3864"/>
        <sz val="8.0"/>
      </rPr>
      <t>'</t>
    </r>
    <r>
      <rPr>
        <rFont val="Noto Sans CJK SC"/>
        <color rgb="FF1F3864"/>
        <sz val="8.0"/>
      </rPr>
      <t>自動判定</t>
    </r>
    <r>
      <rPr>
        <rFont val="Yu Gothic"/>
        <color rgb="FF1F3864"/>
        <sz val="8.0"/>
      </rPr>
      <t>'!B9</t>
    </r>
  </si>
  <si>
    <r>
      <rPr>
        <rFont val="Yu Gothic"/>
        <color rgb="FF000000"/>
        <sz val="9.0"/>
      </rPr>
      <t xml:space="preserve">108.25% ≧ </t>
    </r>
    <r>
      <rPr>
        <rFont val="Noto Sans CJK SC"/>
        <color rgb="FF000000"/>
        <sz val="9.0"/>
      </rPr>
      <t>バナー</t>
    </r>
    <r>
      <rPr>
        <rFont val="Yu Gothic"/>
        <color rgb="FF000000"/>
        <sz val="9.0"/>
      </rPr>
      <t>108% → OK</t>
    </r>
  </si>
  <si>
    <t>E-2</t>
  </si>
  <si>
    <r>
      <rPr>
        <rFont val="Noto Sans CJK SC"/>
        <color rgb="FF000000"/>
        <sz val="8.0"/>
      </rPr>
      <t xml:space="preserve">公開前 </t>
    </r>
    <r>
      <rPr>
        <rFont val="Yu Gothic"/>
        <color rgb="FF000000"/>
        <sz val="8.0"/>
      </rPr>
      <t>C6/C8</t>
    </r>
  </si>
  <si>
    <r>
      <rPr>
        <rFont val="Yu Gothic"/>
        <b/>
        <color rgb="FF000000"/>
        <sz val="9.0"/>
      </rPr>
      <t>Xpt</t>
    </r>
    <r>
      <rPr>
        <rFont val="Noto Sans CJK SC"/>
        <b/>
        <color rgb="FF000000"/>
        <sz val="9.0"/>
      </rPr>
      <t>以上の該当口数</t>
    </r>
  </si>
  <si>
    <r>
      <rPr>
        <rFont val="Noto Sans CJK SC"/>
        <color rgb="FF000000"/>
        <sz val="9.0"/>
      </rPr>
      <t>表示</t>
    </r>
    <r>
      <rPr>
        <rFont val="Yu Gothic"/>
        <color rgb="FF000000"/>
        <sz val="9.0"/>
      </rPr>
      <t>PT/</t>
    </r>
    <r>
      <rPr>
        <rFont val="Noto Sans CJK SC"/>
        <color rgb="FF000000"/>
        <sz val="9.0"/>
      </rPr>
      <t>枚が</t>
    </r>
    <r>
      <rPr>
        <rFont val="Yu Gothic"/>
        <color rgb="FF000000"/>
        <sz val="9.0"/>
      </rPr>
      <t>Xpt</t>
    </r>
    <r>
      <rPr>
        <rFont val="Noto Sans CJK SC"/>
        <color rgb="FF000000"/>
        <sz val="9.0"/>
      </rPr>
      <t>以上の賞の口数合計。</t>
    </r>
    <r>
      <rPr>
        <rFont val="Yu Gothic"/>
        <color rgb="FF000000"/>
        <sz val="9.0"/>
      </rPr>
      <t>2</t>
    </r>
    <r>
      <rPr>
        <rFont val="Noto Sans CJK SC"/>
        <color rgb="FF000000"/>
        <sz val="9.0"/>
      </rPr>
      <t>段表記のバナー用に</t>
    </r>
    <r>
      <rPr>
        <rFont val="Yu Gothic"/>
        <color rgb="FF000000"/>
        <sz val="9.0"/>
      </rPr>
      <t>2</t>
    </r>
    <r>
      <rPr>
        <rFont val="Noto Sans CJK SC"/>
        <color rgb="FF000000"/>
        <sz val="9.0"/>
      </rPr>
      <t>組目（任意）もある</t>
    </r>
  </si>
  <si>
    <r>
      <rPr>
        <rFont val="Noto Sans CJK SC"/>
        <color rgb="FF1F3864"/>
        <sz val="8.0"/>
      </rPr>
      <t>＝</t>
    </r>
    <r>
      <rPr>
        <rFont val="Yu Gothic"/>
        <color rgb="FF1F3864"/>
        <sz val="8.0"/>
      </rPr>
      <t>SUMIFS(D</t>
    </r>
    <r>
      <rPr>
        <rFont val="Noto Sans CJK SC"/>
        <color rgb="FF1F3864"/>
        <sz val="8.0"/>
      </rPr>
      <t>列</t>
    </r>
    <r>
      <rPr>
        <rFont val="Yu Gothic"/>
        <color rgb="FF1F3864"/>
        <sz val="8.0"/>
      </rPr>
      <t>,J</t>
    </r>
    <r>
      <rPr>
        <rFont val="Noto Sans CJK SC"/>
        <color rgb="FF1F3864"/>
        <sz val="8.0"/>
      </rPr>
      <t>列</t>
    </r>
    <r>
      <rPr>
        <rFont val="Yu Gothic"/>
        <color rgb="FF1F3864"/>
        <sz val="8.0"/>
      </rPr>
      <t>,"&gt;="&amp;X)</t>
    </r>
  </si>
  <si>
    <r>
      <rPr>
        <rFont val="Yu Gothic"/>
        <color rgb="FF000000"/>
        <sz val="9.0"/>
      </rPr>
      <t>X</t>
    </r>
    <r>
      <rPr>
        <rFont val="Noto Sans CJK SC"/>
        <color rgb="FF000000"/>
        <sz val="9.0"/>
      </rPr>
      <t>＝</t>
    </r>
    <r>
      <rPr>
        <rFont val="Yu Gothic"/>
        <color rgb="FF000000"/>
        <sz val="9.0"/>
      </rPr>
      <t>60,000pt → 1</t>
    </r>
    <r>
      <rPr>
        <rFont val="Noto Sans CJK SC"/>
        <color rgb="FF000000"/>
        <sz val="9.0"/>
      </rPr>
      <t>等</t>
    </r>
    <r>
      <rPr>
        <rFont val="Yu Gothic"/>
        <color rgb="FF000000"/>
        <sz val="9.0"/>
      </rPr>
      <t>1</t>
    </r>
    <r>
      <rPr>
        <rFont val="Noto Sans CJK SC"/>
        <color rgb="FF000000"/>
        <sz val="9.0"/>
      </rPr>
      <t>口＋</t>
    </r>
    <r>
      <rPr>
        <rFont val="Yu Gothic"/>
        <color rgb="FF000000"/>
        <sz val="9.0"/>
      </rPr>
      <t>2</t>
    </r>
    <r>
      <rPr>
        <rFont val="Noto Sans CJK SC"/>
        <color rgb="FF000000"/>
        <sz val="9.0"/>
      </rPr>
      <t>等</t>
    </r>
    <r>
      <rPr>
        <rFont val="Yu Gothic"/>
        <color rgb="FF000000"/>
        <sz val="9.0"/>
      </rPr>
      <t>5</t>
    </r>
    <r>
      <rPr>
        <rFont val="Noto Sans CJK SC"/>
        <color rgb="FF000000"/>
        <sz val="9.0"/>
      </rPr>
      <t xml:space="preserve">口 ＝ </t>
    </r>
    <r>
      <rPr>
        <rFont val="Yu Gothic"/>
        <color rgb="FF000000"/>
        <sz val="9.0"/>
      </rPr>
      <t>6</t>
    </r>
    <r>
      <rPr>
        <rFont val="Noto Sans CJK SC"/>
        <color rgb="FF000000"/>
        <sz val="9.0"/>
      </rPr>
      <t>口</t>
    </r>
  </si>
  <si>
    <t>E-3</t>
  </si>
  <si>
    <r>
      <rPr>
        <rFont val="Noto Sans CJK SC"/>
        <color rgb="FF000000"/>
        <sz val="8.0"/>
      </rPr>
      <t xml:space="preserve">公開前 </t>
    </r>
    <r>
      <rPr>
        <rFont val="Yu Gothic"/>
        <color rgb="FF000000"/>
        <sz val="8.0"/>
      </rPr>
      <t>C7/C9</t>
    </r>
  </si>
  <si>
    <r>
      <rPr>
        <rFont val="Noto Sans CJK SC"/>
        <b/>
        <color rgb="FF000000"/>
        <sz val="9.0"/>
      </rPr>
      <t>実際の</t>
    </r>
    <r>
      <rPr>
        <rFont val="Yu Gothic"/>
        <b/>
        <color rgb="FF000000"/>
        <sz val="9.0"/>
      </rPr>
      <t>1/Y</t>
    </r>
    <r>
      <rPr>
        <rFont val="Noto Sans CJK SC"/>
        <b/>
        <color rgb="FF000000"/>
        <sz val="9.0"/>
      </rPr>
      <t>の分母</t>
    </r>
  </si>
  <si>
    <r>
      <rPr>
        <rFont val="Noto Sans CJK SC"/>
        <color rgb="FF000000"/>
        <sz val="9.0"/>
      </rPr>
      <t xml:space="preserve">総口数 </t>
    </r>
    <r>
      <rPr>
        <rFont val="Yu Gothic"/>
        <color rgb="FF000000"/>
        <sz val="9.0"/>
      </rPr>
      <t xml:space="preserve">÷ </t>
    </r>
    <r>
      <rPr>
        <rFont val="Noto Sans CJK SC"/>
        <color rgb="FF000000"/>
        <sz val="9.0"/>
      </rPr>
      <t>該当口数。バナーには実装値より大きい（＝お客様に不利な）数字を書く</t>
    </r>
  </si>
  <si>
    <r>
      <rPr>
        <rFont val="Noto Sans CJK SC"/>
        <color rgb="FF1F3864"/>
        <sz val="8.0"/>
      </rPr>
      <t>＝総口数</t>
    </r>
    <r>
      <rPr>
        <rFont val="Yu Gothic"/>
        <color rgb="FF1F3864"/>
        <sz val="8.0"/>
      </rPr>
      <t>/</t>
    </r>
    <r>
      <rPr>
        <rFont val="Noto Sans CJK SC"/>
        <color rgb="FF1F3864"/>
        <sz val="8.0"/>
      </rPr>
      <t>該当口数</t>
    </r>
  </si>
  <si>
    <r>
      <rPr>
        <rFont val="Yu Gothic"/>
        <color rgb="FF000000"/>
        <sz val="9.0"/>
      </rPr>
      <t xml:space="preserve">5,000 ÷ 6 </t>
    </r>
    <r>
      <rPr>
        <rFont val="Noto Sans CJK SC"/>
        <color rgb="FF000000"/>
        <sz val="9.0"/>
      </rPr>
      <t xml:space="preserve">＝ </t>
    </r>
    <r>
      <rPr>
        <rFont val="Yu Gothic"/>
        <color rgb="FF000000"/>
        <sz val="9.0"/>
      </rPr>
      <t xml:space="preserve">833.3 → </t>
    </r>
    <r>
      <rPr>
        <rFont val="Noto Sans CJK SC"/>
        <color rgb="FF000000"/>
        <sz val="9.0"/>
      </rPr>
      <t>バナーは「</t>
    </r>
    <r>
      <rPr>
        <rFont val="Yu Gothic"/>
        <color rgb="FF000000"/>
        <sz val="9.0"/>
      </rPr>
      <t>1/834</t>
    </r>
    <r>
      <rPr>
        <rFont val="Noto Sans CJK SC"/>
        <color rgb="FF000000"/>
        <sz val="9.0"/>
      </rPr>
      <t>」なら</t>
    </r>
    <r>
      <rPr>
        <rFont val="Yu Gothic"/>
        <color rgb="FF000000"/>
        <sz val="9.0"/>
      </rPr>
      <t>OK</t>
    </r>
  </si>
  <si>
    <t>E-4</t>
  </si>
  <si>
    <r>
      <rPr>
        <rFont val="Noto Sans CJK SC"/>
        <color rgb="FF000000"/>
        <sz val="8.0"/>
      </rPr>
      <t xml:space="preserve">公開前 </t>
    </r>
    <r>
      <rPr>
        <rFont val="Yu Gothic"/>
        <color rgb="FF000000"/>
        <sz val="8.0"/>
      </rPr>
      <t>C10</t>
    </r>
  </si>
  <si>
    <t>実装の最低保証</t>
  </si>
  <si>
    <r>
      <rPr>
        <rFont val="Noto Sans CJK SC"/>
        <color rgb="FF000000"/>
        <sz val="9.0"/>
      </rPr>
      <t>表示</t>
    </r>
    <r>
      <rPr>
        <rFont val="Yu Gothic"/>
        <color rgb="FF000000"/>
        <sz val="9.0"/>
      </rPr>
      <t>PT/</t>
    </r>
    <r>
      <rPr>
        <rFont val="Noto Sans CJK SC"/>
        <color rgb="FF000000"/>
        <sz val="9.0"/>
      </rPr>
      <t>枚（</t>
    </r>
    <r>
      <rPr>
        <rFont val="Yu Gothic"/>
        <color rgb="FF000000"/>
        <sz val="9.0"/>
      </rPr>
      <t>J</t>
    </r>
    <r>
      <rPr>
        <rFont val="Noto Sans CJK SC"/>
        <color rgb="FF000000"/>
        <sz val="9.0"/>
      </rPr>
      <t>列）のいちばん小さい値</t>
    </r>
  </si>
  <si>
    <r>
      <rPr>
        <rFont val="Noto Sans CJK SC"/>
        <color rgb="FF1F3864"/>
        <sz val="8.0"/>
      </rPr>
      <t>＝</t>
    </r>
    <r>
      <rPr>
        <rFont val="Yu Gothic"/>
        <color rgb="FF1F3864"/>
        <sz val="8.0"/>
      </rPr>
      <t>MIN(J</t>
    </r>
    <r>
      <rPr>
        <rFont val="Noto Sans CJK SC"/>
        <color rgb="FF1F3864"/>
        <sz val="8.0"/>
      </rPr>
      <t>列</t>
    </r>
    <r>
      <rPr>
        <rFont val="Yu Gothic"/>
        <color rgb="FF1F3864"/>
        <sz val="8.0"/>
      </rPr>
      <t>)</t>
    </r>
  </si>
  <si>
    <r>
      <rPr>
        <rFont val="Yu Gothic"/>
        <color rgb="FF000000"/>
        <sz val="9.0"/>
      </rPr>
      <t xml:space="preserve">65pt ≧ </t>
    </r>
    <r>
      <rPr>
        <rFont val="Noto Sans CJK SC"/>
        <color rgb="FF000000"/>
        <sz val="9.0"/>
      </rPr>
      <t>バナー</t>
    </r>
    <r>
      <rPr>
        <rFont val="Yu Gothic"/>
        <color rgb="FF000000"/>
        <sz val="9.0"/>
      </rPr>
      <t>65pt → OK</t>
    </r>
  </si>
  <si>
    <t>E-5</t>
  </si>
  <si>
    <r>
      <rPr>
        <rFont val="Noto Sans CJK SC"/>
        <color rgb="FF000000"/>
        <sz val="8.0"/>
      </rPr>
      <t xml:space="preserve">公開前 </t>
    </r>
    <r>
      <rPr>
        <rFont val="Yu Gothic"/>
        <color rgb="FF000000"/>
        <sz val="8.0"/>
      </rPr>
      <t>D22</t>
    </r>
    <r>
      <rPr>
        <rFont val="Noto Sans CJK SC"/>
        <color rgb="FF000000"/>
        <sz val="8.0"/>
      </rPr>
      <t>・</t>
    </r>
    <r>
      <rPr>
        <rFont val="Yu Gothic"/>
        <color rgb="FF000000"/>
        <sz val="8.0"/>
      </rPr>
      <t>D24</t>
    </r>
  </si>
  <si>
    <t>手動完了と公開前総合</t>
  </si>
  <si>
    <r>
      <rPr>
        <rFont val="Noto Sans CJK SC"/>
        <color rgb="FF000000"/>
        <sz val="9.0"/>
      </rPr>
      <t>手動チェックは担当＋完了日の両方が入った行を完了とカウント（</t>
    </r>
    <r>
      <rPr>
        <rFont val="Yu Gothic"/>
        <color rgb="FF000000"/>
        <sz val="9.0"/>
      </rPr>
      <t>7/7</t>
    </r>
    <r>
      <rPr>
        <rFont val="Noto Sans CJK SC"/>
        <color rgb="FF000000"/>
        <sz val="9.0"/>
      </rPr>
      <t>で完了）。公開前総合＝自動判定</t>
    </r>
    <r>
      <rPr>
        <rFont val="Yu Gothic"/>
        <color rgb="FF000000"/>
        <sz val="9.0"/>
      </rPr>
      <t>OK</t>
    </r>
    <r>
      <rPr>
        <rFont val="Noto Sans CJK SC"/>
        <color rgb="FF000000"/>
        <sz val="9.0"/>
      </rPr>
      <t>＋バナー突合</t>
    </r>
    <r>
      <rPr>
        <rFont val="Yu Gothic"/>
        <color rgb="FF000000"/>
        <sz val="9.0"/>
      </rPr>
      <t>OK</t>
    </r>
    <r>
      <rPr>
        <rFont val="Noto Sans CJK SC"/>
        <color rgb="FF000000"/>
        <sz val="9.0"/>
      </rPr>
      <t>＋手動</t>
    </r>
    <r>
      <rPr>
        <rFont val="Yu Gothic"/>
        <color rgb="FF000000"/>
        <sz val="9.0"/>
      </rPr>
      <t>7</t>
    </r>
    <r>
      <rPr>
        <rFont val="Noto Sans CJK SC"/>
        <color rgb="FF000000"/>
        <sz val="9.0"/>
      </rPr>
      <t>項目完了 の全部そろいで</t>
    </r>
    <r>
      <rPr>
        <rFont val="Yu Gothic"/>
        <color rgb="FF000000"/>
        <sz val="9.0"/>
      </rPr>
      <t>OK</t>
    </r>
  </si>
  <si>
    <r>
      <rPr>
        <rFont val="Noto Sans CJK SC"/>
        <color rgb="FF1F3864"/>
        <sz val="8.0"/>
      </rPr>
      <t>＝</t>
    </r>
    <r>
      <rPr>
        <rFont val="Yu Gothic"/>
        <color rgb="FF1F3864"/>
        <sz val="8.0"/>
      </rPr>
      <t>SUMPRODUCT((</t>
    </r>
    <r>
      <rPr>
        <rFont val="Noto Sans CJK SC"/>
        <color rgb="FF1F3864"/>
        <sz val="8.0"/>
      </rPr>
      <t>担当</t>
    </r>
    <r>
      <rPr>
        <rFont val="Yu Gothic"/>
        <color rgb="FF1F3864"/>
        <sz val="8.0"/>
      </rPr>
      <t>&lt;&gt;"")*(</t>
    </r>
    <r>
      <rPr>
        <rFont val="Noto Sans CJK SC"/>
        <color rgb="FF1F3864"/>
        <sz val="8.0"/>
      </rPr>
      <t>完了日</t>
    </r>
    <r>
      <rPr>
        <rFont val="Yu Gothic"/>
        <color rgb="FF1F3864"/>
        <sz val="8.0"/>
      </rPr>
      <t>&lt;&gt;""))</t>
    </r>
  </si>
  <si>
    <r>
      <rPr>
        <rFont val="Noto Sans CJK SC"/>
        <color rgb="FF000000"/>
        <sz val="9.0"/>
      </rPr>
      <t xml:space="preserve">デモは手動未記入 → 未完了 </t>
    </r>
    <r>
      <rPr>
        <rFont val="Yu Gothic"/>
        <color rgb="FF000000"/>
        <sz val="9.0"/>
      </rPr>
      <t>7</t>
    </r>
    <r>
      <rPr>
        <rFont val="Noto Sans CJK SC"/>
        <color rgb="FF000000"/>
        <sz val="9.0"/>
      </rPr>
      <t>件</t>
    </r>
  </si>
  <si>
    <r>
      <rPr>
        <rFont val="Yu Gothic"/>
        <b/>
        <color rgb="FF000000"/>
        <sz val="10.0"/>
      </rPr>
      <t xml:space="preserve">F. </t>
    </r>
    <r>
      <rPr>
        <rFont val="Noto Sans CJK SC"/>
        <b/>
        <color rgb="FF000000"/>
        <sz val="10.0"/>
      </rPr>
      <t>損害計算シート（末広がり事案）の式</t>
    </r>
  </si>
  <si>
    <t>F-1</t>
  </si>
  <si>
    <r>
      <rPr>
        <rFont val="Noto Sans CJK SC"/>
        <color rgb="FF000000"/>
        <sz val="8.0"/>
      </rPr>
      <t xml:space="preserve">損害計算 </t>
    </r>
    <r>
      <rPr>
        <rFont val="Yu Gothic"/>
        <color rgb="FF000000"/>
        <sz val="8.0"/>
      </rPr>
      <t>B14</t>
    </r>
  </si>
  <si>
    <r>
      <rPr>
        <rFont val="Yu Gothic"/>
        <b/>
        <color rgb="FF000000"/>
        <sz val="9.0"/>
      </rPr>
      <t>Δpt</t>
    </r>
    <r>
      <rPr>
        <rFont val="Noto Sans CJK SC"/>
        <b/>
        <color rgb="FF000000"/>
        <sz val="9.0"/>
      </rPr>
      <t>残高（額面）</t>
    </r>
  </si>
  <si>
    <r>
      <rPr>
        <rFont val="Noto Sans CJK SC"/>
        <color rgb="FF000000"/>
        <sz val="9.0"/>
      </rPr>
      <t>このガチャが付与した</t>
    </r>
    <r>
      <rPr>
        <rFont val="Yu Gothic"/>
        <color rgb="FF000000"/>
        <sz val="9.0"/>
      </rPr>
      <t xml:space="preserve">pt − </t>
    </r>
    <r>
      <rPr>
        <rFont val="Noto Sans CJK SC"/>
        <color rgb="FF000000"/>
        <sz val="9.0"/>
      </rPr>
      <t>このガチャに投入された</t>
    </r>
    <r>
      <rPr>
        <rFont val="Yu Gothic"/>
        <color rgb="FF000000"/>
        <sz val="9.0"/>
      </rPr>
      <t>pt</t>
    </r>
    <r>
      <rPr>
        <rFont val="Noto Sans CJK SC"/>
        <color rgb="FF000000"/>
        <sz val="9.0"/>
      </rPr>
      <t>。プラス＝</t>
    </r>
    <r>
      <rPr>
        <rFont val="Yu Gothic"/>
        <color rgb="FF000000"/>
        <sz val="9.0"/>
      </rPr>
      <t>pt</t>
    </r>
    <r>
      <rPr>
        <rFont val="Noto Sans CJK SC"/>
        <color rgb="FF000000"/>
        <sz val="9.0"/>
      </rPr>
      <t>が市中に増えた分</t>
    </r>
  </si>
  <si>
    <r>
      <rPr>
        <rFont val="Noto Sans CJK SC"/>
        <color rgb="FF1F3864"/>
        <sz val="8.0"/>
      </rPr>
      <t>＝付与</t>
    </r>
    <r>
      <rPr>
        <rFont val="Yu Gothic"/>
        <color rgb="FF1F3864"/>
        <sz val="8.0"/>
      </rPr>
      <t>pt-</t>
    </r>
    <r>
      <rPr>
        <rFont val="Noto Sans CJK SC"/>
        <color rgb="FF1F3864"/>
        <sz val="8.0"/>
      </rPr>
      <t>投入</t>
    </r>
    <r>
      <rPr>
        <rFont val="Yu Gothic"/>
        <color rgb="FF1F3864"/>
        <sz val="8.0"/>
      </rPr>
      <t>pt</t>
    </r>
  </si>
  <si>
    <t>コーナーズのクエリ回答で確定</t>
  </si>
  <si>
    <t>F-2</t>
  </si>
  <si>
    <r>
      <rPr>
        <rFont val="Noto Sans CJK SC"/>
        <color rgb="FF000000"/>
        <sz val="8.0"/>
      </rPr>
      <t xml:space="preserve">損害計算 </t>
    </r>
    <r>
      <rPr>
        <rFont val="Yu Gothic"/>
        <color rgb="FF000000"/>
        <sz val="8.0"/>
      </rPr>
      <t>B15</t>
    </r>
  </si>
  <si>
    <r>
      <rPr>
        <rFont val="Yu Gothic"/>
        <b/>
        <color rgb="FF000000"/>
        <sz val="9.0"/>
      </rPr>
      <t>Δpt</t>
    </r>
    <r>
      <rPr>
        <rFont val="Noto Sans CJK SC"/>
        <b/>
        <color rgb="FF000000"/>
        <sz val="9.0"/>
      </rPr>
      <t>の実質コスト</t>
    </r>
  </si>
  <si>
    <r>
      <rPr>
        <rFont val="Yu Gothic"/>
        <color rgb="FF000000"/>
        <sz val="9.0"/>
      </rPr>
      <t>Δpt</t>
    </r>
    <r>
      <rPr>
        <rFont val="Noto Sans CJK SC"/>
        <color rgb="FF000000"/>
        <sz val="9.0"/>
      </rPr>
      <t xml:space="preserve">残高 </t>
    </r>
    <r>
      <rPr>
        <rFont val="Yu Gothic"/>
        <color rgb="FF000000"/>
        <sz val="9.0"/>
      </rPr>
      <t xml:space="preserve">× </t>
    </r>
    <r>
      <rPr>
        <rFont val="Noto Sans CJK SC"/>
        <color rgb="FF000000"/>
        <sz val="9.0"/>
      </rPr>
      <t>実質原価率</t>
    </r>
    <r>
      <rPr>
        <rFont val="Yu Gothic"/>
        <color rgb="FF000000"/>
        <sz val="9.0"/>
      </rPr>
      <t>0.72</t>
    </r>
    <r>
      <rPr>
        <rFont val="Noto Sans CJK SC"/>
        <color rgb="FF000000"/>
        <sz val="9.0"/>
      </rPr>
      <t>。増えた</t>
    </r>
    <r>
      <rPr>
        <rFont val="Yu Gothic"/>
        <color rgb="FF000000"/>
        <sz val="9.0"/>
      </rPr>
      <t>pt</t>
    </r>
    <r>
      <rPr>
        <rFont val="Noto Sans CJK SC"/>
        <color rgb="FF000000"/>
        <sz val="9.0"/>
      </rPr>
      <t>を商品で消化するときの実費</t>
    </r>
  </si>
  <si>
    <r>
      <rPr>
        <rFont val="Noto Sans CJK SC"/>
        <color rgb="FF1F3864"/>
        <sz val="8.0"/>
      </rPr>
      <t>＝</t>
    </r>
    <r>
      <rPr>
        <rFont val="Yu Gothic"/>
        <color rgb="FF1F3864"/>
        <sz val="8.0"/>
      </rPr>
      <t>Δpt×0.72</t>
    </r>
  </si>
  <si>
    <t>同上</t>
  </si>
  <si>
    <t>F-3</t>
  </si>
  <si>
    <r>
      <rPr>
        <rFont val="Noto Sans CJK SC"/>
        <color rgb="FF000000"/>
        <sz val="8.0"/>
      </rPr>
      <t xml:space="preserve">損害計算 </t>
    </r>
    <r>
      <rPr>
        <rFont val="Yu Gothic"/>
        <color rgb="FF000000"/>
        <sz val="8.0"/>
      </rPr>
      <t>B16/B17</t>
    </r>
  </si>
  <si>
    <r>
      <rPr>
        <rFont val="Yu Gothic"/>
        <b/>
        <color rgb="FF000000"/>
        <sz val="9.0"/>
      </rPr>
      <t>4</t>
    </r>
    <r>
      <rPr>
        <rFont val="Noto Sans CJK SC"/>
        <b/>
        <color rgb="FF000000"/>
        <sz val="9.0"/>
      </rPr>
      <t>等の発送実費／未選択引当</t>
    </r>
  </si>
  <si>
    <r>
      <rPr>
        <rFont val="Noto Sans CJK SC"/>
        <color rgb="FF000000"/>
        <sz val="9.0"/>
      </rPr>
      <t xml:space="preserve">当選件数 </t>
    </r>
    <r>
      <rPr>
        <rFont val="Yu Gothic"/>
        <color rgb="FF000000"/>
        <sz val="9.0"/>
      </rPr>
      <t xml:space="preserve">× </t>
    </r>
    <r>
      <rPr>
        <rFont val="Noto Sans CJK SC"/>
        <color rgb="FF000000"/>
        <sz val="9.0"/>
      </rPr>
      <t xml:space="preserve">発送選択率 </t>
    </r>
    <r>
      <rPr>
        <rFont val="Yu Gothic"/>
        <color rgb="FF000000"/>
        <sz val="9.0"/>
      </rPr>
      <t xml:space="preserve">× </t>
    </r>
    <r>
      <rPr>
        <rFont val="Noto Sans CJK SC"/>
        <color rgb="FF000000"/>
        <sz val="9.0"/>
      </rPr>
      <t>実費</t>
    </r>
    <r>
      <rPr>
        <rFont val="Yu Gothic"/>
        <color rgb="FF000000"/>
        <sz val="9.0"/>
      </rPr>
      <t>/</t>
    </r>
    <r>
      <rPr>
        <rFont val="Noto Sans CJK SC"/>
        <color rgb="FF000000"/>
        <sz val="9.0"/>
      </rPr>
      <t xml:space="preserve">件 ／ 当選件数 </t>
    </r>
    <r>
      <rPr>
        <rFont val="Yu Gothic"/>
        <color rgb="FF000000"/>
        <sz val="9.0"/>
      </rPr>
      <t xml:space="preserve">× </t>
    </r>
    <r>
      <rPr>
        <rFont val="Noto Sans CJK SC"/>
        <color rgb="FF000000"/>
        <sz val="9.0"/>
      </rPr>
      <t xml:space="preserve">未選択率 </t>
    </r>
    <r>
      <rPr>
        <rFont val="Yu Gothic"/>
        <color rgb="FF000000"/>
        <sz val="9.0"/>
      </rPr>
      <t xml:space="preserve">× </t>
    </r>
    <r>
      <rPr>
        <rFont val="Noto Sans CJK SC"/>
        <color rgb="FF000000"/>
        <sz val="9.0"/>
      </rPr>
      <t>引当</t>
    </r>
    <r>
      <rPr>
        <rFont val="Yu Gothic"/>
        <color rgb="FF000000"/>
        <sz val="9.0"/>
      </rPr>
      <t>/</t>
    </r>
    <r>
      <rPr>
        <rFont val="Noto Sans CJK SC"/>
        <color rgb="FF000000"/>
        <sz val="9.0"/>
      </rPr>
      <t>件</t>
    </r>
  </si>
  <si>
    <r>
      <rPr>
        <rFont val="Noto Sans CJK SC"/>
        <color rgb="FF1F3864"/>
        <sz val="8.0"/>
      </rPr>
      <t>＝件数</t>
    </r>
    <r>
      <rPr>
        <rFont val="Yu Gothic"/>
        <color rgb="FF1F3864"/>
        <sz val="8.0"/>
      </rPr>
      <t>×</t>
    </r>
    <r>
      <rPr>
        <rFont val="Noto Sans CJK SC"/>
        <color rgb="FF1F3864"/>
        <sz val="8.0"/>
      </rPr>
      <t>率</t>
    </r>
    <r>
      <rPr>
        <rFont val="Yu Gothic"/>
        <color rgb="FF1F3864"/>
        <sz val="8.0"/>
      </rPr>
      <t>×</t>
    </r>
    <r>
      <rPr>
        <rFont val="Noto Sans CJK SC"/>
        <color rgb="FF1F3864"/>
        <sz val="8.0"/>
      </rPr>
      <t>単価</t>
    </r>
  </si>
  <si>
    <t>F-4</t>
  </si>
  <si>
    <r>
      <rPr>
        <rFont val="Noto Sans CJK SC"/>
        <color rgb="FF000000"/>
        <sz val="8.0"/>
      </rPr>
      <t xml:space="preserve">損害計算 </t>
    </r>
    <r>
      <rPr>
        <rFont val="Yu Gothic"/>
        <color rgb="FF000000"/>
        <sz val="8.0"/>
      </rPr>
      <t>B18</t>
    </r>
  </si>
  <si>
    <t>損害合計（推計）</t>
  </si>
  <si>
    <r>
      <rPr>
        <rFont val="Noto Sans CJK SC"/>
        <color rgb="FF000000"/>
        <sz val="9.0"/>
      </rPr>
      <t xml:space="preserve">現金収入 − </t>
    </r>
    <r>
      <rPr>
        <rFont val="Yu Gothic"/>
        <color rgb="FF000000"/>
        <sz val="9.0"/>
      </rPr>
      <t>1</t>
    </r>
    <r>
      <rPr>
        <rFont val="Noto Sans CJK SC"/>
        <color rgb="FF000000"/>
        <sz val="9.0"/>
      </rPr>
      <t xml:space="preserve">等実費 − </t>
    </r>
    <r>
      <rPr>
        <rFont val="Yu Gothic"/>
        <color rgb="FF000000"/>
        <sz val="9.0"/>
      </rPr>
      <t>4</t>
    </r>
    <r>
      <rPr>
        <rFont val="Noto Sans CJK SC"/>
        <color rgb="FF000000"/>
        <sz val="9.0"/>
      </rPr>
      <t xml:space="preserve">等発送実費 − </t>
    </r>
    <r>
      <rPr>
        <rFont val="Yu Gothic"/>
        <color rgb="FF000000"/>
        <sz val="9.0"/>
      </rPr>
      <t>4</t>
    </r>
    <r>
      <rPr>
        <rFont val="Noto Sans CJK SC"/>
        <color rgb="FF000000"/>
        <sz val="9.0"/>
      </rPr>
      <t xml:space="preserve">等引当 − </t>
    </r>
    <r>
      <rPr>
        <rFont val="Yu Gothic"/>
        <color rgb="FF000000"/>
        <sz val="9.0"/>
      </rPr>
      <t>Δpt</t>
    </r>
    <r>
      <rPr>
        <rFont val="Noto Sans CJK SC"/>
        <color rgb="FF000000"/>
        <sz val="9.0"/>
      </rPr>
      <t>実質コスト。マイナス＝損害額</t>
    </r>
  </si>
  <si>
    <r>
      <rPr>
        <rFont val="Noto Sans CJK SC"/>
        <color rgb="FF1F3864"/>
        <sz val="8.0"/>
      </rPr>
      <t>＝</t>
    </r>
    <r>
      <rPr>
        <rFont val="Yu Gothic"/>
        <color rgb="FF1F3864"/>
        <sz val="8.0"/>
      </rPr>
      <t>B4-B5-B16-B17-B15</t>
    </r>
  </si>
  <si>
    <r>
      <rPr>
        <rFont val="Noto Sans CJK SC"/>
        <color rgb="FF000000"/>
        <sz val="9.0"/>
      </rPr>
      <t>再投入</t>
    </r>
    <r>
      <rPr>
        <rFont val="Yu Gothic"/>
        <color rgb="FF000000"/>
        <sz val="9.0"/>
      </rPr>
      <t>pt</t>
    </r>
    <r>
      <rPr>
        <rFont val="Noto Sans CJK SC"/>
        <color rgb="FF000000"/>
        <sz val="9.0"/>
      </rPr>
      <t>分は</t>
    </r>
    <r>
      <rPr>
        <rFont val="Yu Gothic"/>
        <color rgb="FF000000"/>
        <sz val="9.0"/>
      </rPr>
      <t>Δpt</t>
    </r>
    <r>
      <rPr>
        <rFont val="Noto Sans CJK SC"/>
        <color rgb="FF000000"/>
        <sz val="9.0"/>
      </rPr>
      <t>に織り込み済み（二重計上しない）</t>
    </r>
  </si>
  <si>
    <r>
      <rPr>
        <rFont val="Yu Gothic"/>
        <b/>
        <color rgb="FF000000"/>
        <sz val="10.0"/>
      </rPr>
      <t>G. ★</t>
    </r>
    <r>
      <rPr>
        <rFont val="Noto Sans CJK SC"/>
        <b/>
        <color rgb="FF000000"/>
        <sz val="10.0"/>
      </rPr>
      <t>自分で設計するときに電卓で使う逆算式（新しいガチャを作る手順そのまま）</t>
    </r>
  </si>
  <si>
    <t>G-1</t>
  </si>
  <si>
    <t>電卓</t>
  </si>
  <si>
    <r>
      <rPr>
        <rFont val="Noto Sans CJK SC"/>
        <b/>
        <color rgb="FF000000"/>
        <sz val="9.0"/>
      </rPr>
      <t>① 目標の表示</t>
    </r>
    <r>
      <rPr>
        <rFont val="Yu Gothic"/>
        <b/>
        <color rgb="FF000000"/>
        <sz val="9.0"/>
      </rPr>
      <t>PT</t>
    </r>
    <r>
      <rPr>
        <rFont val="Noto Sans CJK SC"/>
        <b/>
        <color rgb="FF000000"/>
        <sz val="9.0"/>
      </rPr>
      <t>合計</t>
    </r>
  </si>
  <si>
    <r>
      <rPr>
        <rFont val="Noto Sans CJK SC"/>
        <color rgb="FF000000"/>
        <sz val="9.0"/>
      </rPr>
      <t xml:space="preserve">総売上 </t>
    </r>
    <r>
      <rPr>
        <rFont val="Yu Gothic"/>
        <color rgb="FF000000"/>
        <sz val="9.0"/>
      </rPr>
      <t xml:space="preserve">× </t>
    </r>
    <r>
      <rPr>
        <rFont val="Noto Sans CJK SC"/>
        <color rgb="FF000000"/>
        <sz val="9.0"/>
      </rPr>
      <t>目標還元率。まずこの「配れる総額」を決める</t>
    </r>
  </si>
  <si>
    <r>
      <rPr>
        <rFont val="Noto Sans CJK SC"/>
        <color rgb="FF1F3864"/>
        <sz val="8.0"/>
      </rPr>
      <t>＝単価</t>
    </r>
    <r>
      <rPr>
        <rFont val="Yu Gothic"/>
        <color rgb="FF1F3864"/>
        <sz val="8.0"/>
      </rPr>
      <t>×</t>
    </r>
    <r>
      <rPr>
        <rFont val="Noto Sans CJK SC"/>
        <color rgb="FF1F3864"/>
        <sz val="8.0"/>
      </rPr>
      <t>総口数</t>
    </r>
    <r>
      <rPr>
        <rFont val="Yu Gothic"/>
        <color rgb="FF1F3864"/>
        <sz val="8.0"/>
      </rPr>
      <t>×</t>
    </r>
    <r>
      <rPr>
        <rFont val="Noto Sans CJK SC"/>
        <color rgb="FF1F3864"/>
        <sz val="8.0"/>
      </rPr>
      <t>還元率</t>
    </r>
  </si>
  <si>
    <r>
      <rPr>
        <rFont val="Yu Gothic"/>
        <color rgb="FF000000"/>
        <sz val="9.0"/>
      </rPr>
      <t xml:space="preserve">4,000,000 × 108% </t>
    </r>
    <r>
      <rPr>
        <rFont val="Noto Sans CJK SC"/>
        <color rgb="FF000000"/>
        <sz val="9.0"/>
      </rPr>
      <t xml:space="preserve">＝ </t>
    </r>
    <r>
      <rPr>
        <rFont val="Yu Gothic"/>
        <color rgb="FF000000"/>
        <sz val="9.0"/>
      </rPr>
      <t>4,320,000pt</t>
    </r>
  </si>
  <si>
    <t>G-2</t>
  </si>
  <si>
    <t>② 発送限定に置くべき最低ライン</t>
  </si>
  <si>
    <r>
      <rPr>
        <rFont val="Noto Sans CJK SC"/>
        <color rgb="FF000000"/>
        <sz val="9.0"/>
      </rPr>
      <t>表示</t>
    </r>
    <r>
      <rPr>
        <rFont val="Yu Gothic"/>
        <color rgb="FF000000"/>
        <sz val="9.0"/>
      </rPr>
      <t>PT</t>
    </r>
    <r>
      <rPr>
        <rFont val="Noto Sans CJK SC"/>
        <color rgb="FF000000"/>
        <sz val="9.0"/>
      </rPr>
      <t>合計 − 総売上</t>
    </r>
    <r>
      <rPr>
        <rFont val="Yu Gothic"/>
        <color rgb="FF000000"/>
        <sz val="9.0"/>
      </rPr>
      <t>×(1−</t>
    </r>
    <r>
      <rPr>
        <rFont val="Noto Sans CJK SC"/>
        <color rgb="FF000000"/>
        <sz val="9.0"/>
      </rPr>
      <t>外部付与率</t>
    </r>
    <r>
      <rPr>
        <rFont val="Yu Gothic"/>
        <color rgb="FF000000"/>
        <sz val="9.0"/>
      </rPr>
      <t>)</t>
    </r>
    <r>
      <rPr>
        <rFont val="Noto Sans CJK SC"/>
        <color rgb="FF000000"/>
        <sz val="9.0"/>
      </rPr>
      <t>。</t>
    </r>
    <r>
      <rPr>
        <rFont val="Yu Gothic"/>
        <color rgb="FF000000"/>
        <sz val="9.0"/>
      </rPr>
      <t>100%</t>
    </r>
    <r>
      <rPr>
        <rFont val="Noto Sans CJK SC"/>
        <color rgb="FF000000"/>
        <sz val="9.0"/>
      </rPr>
      <t>を超える分＋外部付与のマージンは必ず発送限定に置く。これより少ないと実効</t>
    </r>
    <r>
      <rPr>
        <rFont val="Yu Gothic"/>
        <color rgb="FF000000"/>
        <sz val="9.0"/>
      </rPr>
      <t>EV</t>
    </r>
    <r>
      <rPr>
        <rFont val="Noto Sans CJK SC"/>
        <color rgb="FF000000"/>
        <sz val="9.0"/>
      </rPr>
      <t>が</t>
    </r>
    <r>
      <rPr>
        <rFont val="Yu Gothic"/>
        <color rgb="FF000000"/>
        <sz val="9.0"/>
      </rPr>
      <t>100%</t>
    </r>
    <r>
      <rPr>
        <rFont val="Noto Sans CJK SC"/>
        <color rgb="FF000000"/>
        <sz val="9.0"/>
      </rPr>
      <t>以上になる</t>
    </r>
  </si>
  <si>
    <r>
      <rPr>
        <rFont val="Noto Sans CJK SC"/>
        <color rgb="FF1F3864"/>
        <sz val="8.0"/>
      </rPr>
      <t>＝表示</t>
    </r>
    <r>
      <rPr>
        <rFont val="Yu Gothic"/>
        <color rgb="FF1F3864"/>
        <sz val="8.0"/>
      </rPr>
      <t>PT</t>
    </r>
    <r>
      <rPr>
        <rFont val="Noto Sans CJK SC"/>
        <color rgb="FF1F3864"/>
        <sz val="8.0"/>
      </rPr>
      <t>合計−総売上</t>
    </r>
    <r>
      <rPr>
        <rFont val="Yu Gothic"/>
        <color rgb="FF1F3864"/>
        <sz val="8.0"/>
      </rPr>
      <t>×(1−</t>
    </r>
    <r>
      <rPr>
        <rFont val="Noto Sans CJK SC"/>
        <color rgb="FF1F3864"/>
        <sz val="8.0"/>
      </rPr>
      <t>外部付与率</t>
    </r>
    <r>
      <rPr>
        <rFont val="Yu Gothic"/>
        <color rgb="FF1F3864"/>
        <sz val="8.0"/>
      </rPr>
      <t>)</t>
    </r>
  </si>
  <si>
    <r>
      <rPr>
        <rFont val="Yu Gothic"/>
        <color rgb="FF000000"/>
        <sz val="9.0"/>
      </rPr>
      <t xml:space="preserve">4,330,000 − 4,000,000×0.98 </t>
    </r>
    <r>
      <rPr>
        <rFont val="Noto Sans CJK SC"/>
        <color rgb="FF000000"/>
        <sz val="9.0"/>
      </rPr>
      <t xml:space="preserve">＝ </t>
    </r>
    <r>
      <rPr>
        <rFont val="Yu Gothic"/>
        <color rgb="FF000000"/>
        <sz val="9.0"/>
      </rPr>
      <t>410,000pt</t>
    </r>
    <r>
      <rPr>
        <rFont val="Noto Sans CJK SC"/>
        <color rgb="FF000000"/>
        <sz val="9.0"/>
      </rPr>
      <t>必要。デモは発送限定</t>
    </r>
    <r>
      <rPr>
        <rFont val="Yu Gothic"/>
        <color rgb="FF000000"/>
        <sz val="9.0"/>
      </rPr>
      <t>200,000pt</t>
    </r>
    <r>
      <rPr>
        <rFont val="Noto Sans CJK SC"/>
        <color rgb="FF000000"/>
        <sz val="9.0"/>
      </rPr>
      <t xml:space="preserve">しかない → </t>
    </r>
    <r>
      <rPr>
        <rFont val="Yu Gothic"/>
        <color rgb="FF000000"/>
        <sz val="9.0"/>
      </rPr>
      <t>210,000pt</t>
    </r>
    <r>
      <rPr>
        <rFont val="Noto Sans CJK SC"/>
        <color rgb="FF000000"/>
        <sz val="9.0"/>
      </rPr>
      <t>不足 → だから</t>
    </r>
    <r>
      <rPr>
        <rFont val="Yu Gothic"/>
        <color rgb="FF000000"/>
        <sz val="9.0"/>
      </rPr>
      <t>NG</t>
    </r>
  </si>
  <si>
    <t>G-3</t>
  </si>
  <si>
    <t>③ 残り枠</t>
  </si>
  <si>
    <r>
      <rPr>
        <rFont val="Noto Sans CJK SC"/>
        <color rgb="FF000000"/>
        <sz val="9.0"/>
      </rPr>
      <t>目標の表示</t>
    </r>
    <r>
      <rPr>
        <rFont val="Yu Gothic"/>
        <color rgb="FF000000"/>
        <sz val="9.0"/>
      </rPr>
      <t>PT</t>
    </r>
    <r>
      <rPr>
        <rFont val="Noto Sans CJK SC"/>
        <color rgb="FF000000"/>
        <sz val="9.0"/>
      </rPr>
      <t>合計 − すでに決めた賞の表示</t>
    </r>
    <r>
      <rPr>
        <rFont val="Yu Gothic"/>
        <color rgb="FF000000"/>
        <sz val="9.0"/>
      </rPr>
      <t>PT</t>
    </r>
    <r>
      <rPr>
        <rFont val="Noto Sans CJK SC"/>
        <color rgb="FF000000"/>
        <sz val="9.0"/>
      </rPr>
      <t>小計の合計。ここから下位賞に配る</t>
    </r>
  </si>
  <si>
    <t>＝目標−決定済み小計</t>
  </si>
  <si>
    <r>
      <rPr>
        <rFont val="Yu Gothic"/>
        <color rgb="FF000000"/>
        <sz val="9.0"/>
      </rPr>
      <t xml:space="preserve">4,320,000 − (200,000+300,000+1,100,000) </t>
    </r>
    <r>
      <rPr>
        <rFont val="Noto Sans CJK SC"/>
        <color rgb="FF000000"/>
        <sz val="9.0"/>
      </rPr>
      <t xml:space="preserve">＝ </t>
    </r>
    <r>
      <rPr>
        <rFont val="Yu Gothic"/>
        <color rgb="FF000000"/>
        <sz val="9.0"/>
      </rPr>
      <t>2,720,000pt</t>
    </r>
  </si>
  <si>
    <t>G-4</t>
  </si>
  <si>
    <t>④ ある賞に入れられる口数</t>
  </si>
  <si>
    <r>
      <rPr>
        <rFont val="Noto Sans CJK SC"/>
        <color rgb="FF000000"/>
        <sz val="9.0"/>
      </rPr>
      <t xml:space="preserve">残り枠 </t>
    </r>
    <r>
      <rPr>
        <rFont val="Yu Gothic"/>
        <color rgb="FF000000"/>
        <sz val="9.0"/>
      </rPr>
      <t xml:space="preserve">÷ </t>
    </r>
    <r>
      <rPr>
        <rFont val="Noto Sans CJK SC"/>
        <color rgb="FF000000"/>
        <sz val="9.0"/>
      </rPr>
      <t>その賞の表示</t>
    </r>
    <r>
      <rPr>
        <rFont val="Yu Gothic"/>
        <color rgb="FF000000"/>
        <sz val="9.0"/>
      </rPr>
      <t>PT/</t>
    </r>
    <r>
      <rPr>
        <rFont val="Noto Sans CJK SC"/>
        <color rgb="FF000000"/>
        <sz val="9.0"/>
      </rPr>
      <t>枚（端数切り捨て）</t>
    </r>
  </si>
  <si>
    <r>
      <rPr>
        <rFont val="Noto Sans CJK SC"/>
        <color rgb="FF1F3864"/>
        <sz val="8.0"/>
      </rPr>
      <t>＝残り枠</t>
    </r>
    <r>
      <rPr>
        <rFont val="Yu Gothic"/>
        <color rgb="FF1F3864"/>
        <sz val="8.0"/>
      </rPr>
      <t>÷</t>
    </r>
    <r>
      <rPr>
        <rFont val="Noto Sans CJK SC"/>
        <color rgb="FF1F3864"/>
        <sz val="8.0"/>
      </rPr>
      <t>表示</t>
    </r>
    <r>
      <rPr>
        <rFont val="Yu Gothic"/>
        <color rgb="FF1F3864"/>
        <sz val="8.0"/>
      </rPr>
      <t>PT/</t>
    </r>
    <r>
      <rPr>
        <rFont val="Noto Sans CJK SC"/>
        <color rgb="FF1F3864"/>
        <sz val="8.0"/>
      </rPr>
      <t>枚</t>
    </r>
  </si>
  <si>
    <r>
      <rPr>
        <rFont val="Yu Gothic"/>
        <color rgb="FF000000"/>
        <sz val="9.0"/>
      </rPr>
      <t xml:space="preserve">2,470,000 ÷ 2,600 </t>
    </r>
    <r>
      <rPr>
        <rFont val="Noto Sans CJK SC"/>
        <color rgb="FF000000"/>
        <sz val="9.0"/>
      </rPr>
      <t xml:space="preserve">＝ </t>
    </r>
    <r>
      <rPr>
        <rFont val="Yu Gothic"/>
        <color rgb="FF000000"/>
        <sz val="9.0"/>
      </rPr>
      <t>950</t>
    </r>
    <r>
      <rPr>
        <rFont val="Noto Sans CJK SC"/>
        <color rgb="FF000000"/>
        <sz val="9.0"/>
      </rPr>
      <t>口</t>
    </r>
  </si>
  <si>
    <t>G-5</t>
  </si>
  <si>
    <t>⑤ 最低保証で帳尻合わせ</t>
  </si>
  <si>
    <r>
      <rPr>
        <rFont val="Noto Sans CJK SC"/>
        <color rgb="FF000000"/>
        <sz val="9.0"/>
      </rPr>
      <t xml:space="preserve">最後に残った枠 </t>
    </r>
    <r>
      <rPr>
        <rFont val="Yu Gothic"/>
        <color rgb="FF000000"/>
        <sz val="9.0"/>
      </rPr>
      <t xml:space="preserve">÷ </t>
    </r>
    <r>
      <rPr>
        <rFont val="Noto Sans CJK SC"/>
        <color rgb="FF000000"/>
        <sz val="9.0"/>
      </rPr>
      <t>保証の口数 ＝ 保証</t>
    </r>
    <r>
      <rPr>
        <rFont val="Yu Gothic"/>
        <color rgb="FF000000"/>
        <sz val="9.0"/>
      </rPr>
      <t>pt</t>
    </r>
    <r>
      <rPr>
        <rFont val="Noto Sans CJK SC"/>
        <color rgb="FF000000"/>
        <sz val="9.0"/>
      </rPr>
      <t>。端数はここで吸収する</t>
    </r>
  </si>
  <si>
    <r>
      <rPr>
        <rFont val="Noto Sans CJK SC"/>
        <color rgb="FF1F3864"/>
        <sz val="8.0"/>
      </rPr>
      <t>＝残り枠</t>
    </r>
    <r>
      <rPr>
        <rFont val="Yu Gothic"/>
        <color rgb="FF1F3864"/>
        <sz val="8.0"/>
      </rPr>
      <t>÷</t>
    </r>
    <r>
      <rPr>
        <rFont val="Noto Sans CJK SC"/>
        <color rgb="FF1F3864"/>
        <sz val="8.0"/>
      </rPr>
      <t>保証口数</t>
    </r>
  </si>
  <si>
    <r>
      <rPr>
        <rFont val="Yu Gothic"/>
        <color rgb="FF000000"/>
        <sz val="9.0"/>
      </rPr>
      <t>260,000 ÷ 4,000</t>
    </r>
    <r>
      <rPr>
        <rFont val="Noto Sans CJK SC"/>
        <color rgb="FF000000"/>
        <sz val="9.0"/>
      </rPr>
      <t xml:space="preserve">口 ＝ </t>
    </r>
    <r>
      <rPr>
        <rFont val="Yu Gothic"/>
        <color rgb="FF000000"/>
        <sz val="9.0"/>
      </rPr>
      <t>65pt</t>
    </r>
  </si>
  <si>
    <t>G-6</t>
  </si>
  <si>
    <r>
      <rPr>
        <rFont val="Noto Sans CJK SC"/>
        <b/>
        <color rgb="FF000000"/>
        <sz val="9.0"/>
      </rPr>
      <t>「</t>
    </r>
    <r>
      <rPr>
        <rFont val="Yu Gothic"/>
        <b/>
        <color rgb="FF000000"/>
        <sz val="9.0"/>
      </rPr>
      <t>1/Y</t>
    </r>
    <r>
      <rPr>
        <rFont val="Noto Sans CJK SC"/>
        <b/>
        <color rgb="FF000000"/>
        <sz val="9.0"/>
      </rPr>
      <t>」表記の作り方</t>
    </r>
  </si>
  <si>
    <r>
      <rPr>
        <rFont val="Yu Gothic"/>
        <color rgb="FF000000"/>
        <sz val="9.0"/>
      </rPr>
      <t xml:space="preserve">Y </t>
    </r>
    <r>
      <rPr>
        <rFont val="Noto Sans CJK SC"/>
        <color rgb="FF000000"/>
        <sz val="9.0"/>
      </rPr>
      <t xml:space="preserve">＝ 総口数 </t>
    </r>
    <r>
      <rPr>
        <rFont val="Yu Gothic"/>
        <color rgb="FF000000"/>
        <sz val="9.0"/>
      </rPr>
      <t xml:space="preserve">÷ </t>
    </r>
    <r>
      <rPr>
        <rFont val="Noto Sans CJK SC"/>
        <color rgb="FF000000"/>
        <sz val="9.0"/>
      </rPr>
      <t>対象の口数。バナーには切り上げた（不利側の）数字を書く</t>
    </r>
  </si>
  <si>
    <r>
      <rPr>
        <rFont val="Noto Sans CJK SC"/>
        <color rgb="FF1F3864"/>
        <sz val="8.0"/>
      </rPr>
      <t>＝総口数</t>
    </r>
    <r>
      <rPr>
        <rFont val="Yu Gothic"/>
        <color rgb="FF1F3864"/>
        <sz val="8.0"/>
      </rPr>
      <t>÷</t>
    </r>
    <r>
      <rPr>
        <rFont val="Noto Sans CJK SC"/>
        <color rgb="FF1F3864"/>
        <sz val="8.0"/>
      </rPr>
      <t>対象口数</t>
    </r>
  </si>
  <si>
    <r>
      <rPr>
        <rFont val="Yu Gothic"/>
        <color rgb="FF000000"/>
        <sz val="9.0"/>
      </rPr>
      <t xml:space="preserve">5,000 ÷ 6 </t>
    </r>
    <r>
      <rPr>
        <rFont val="Noto Sans CJK SC"/>
        <color rgb="FF000000"/>
        <sz val="9.0"/>
      </rPr>
      <t xml:space="preserve">＝ </t>
    </r>
    <r>
      <rPr>
        <rFont val="Yu Gothic"/>
        <color rgb="FF000000"/>
        <sz val="9.0"/>
      </rPr>
      <t xml:space="preserve">833.3 → </t>
    </r>
    <r>
      <rPr>
        <rFont val="Noto Sans CJK SC"/>
        <color rgb="FF000000"/>
        <sz val="9.0"/>
      </rPr>
      <t>バナーは「</t>
    </r>
    <r>
      <rPr>
        <rFont val="Yu Gothic"/>
        <color rgb="FF000000"/>
        <sz val="9.0"/>
      </rPr>
      <t>1/834</t>
    </r>
    <r>
      <rPr>
        <rFont val="Noto Sans CJK SC"/>
        <color rgb="FF000000"/>
        <sz val="9.0"/>
      </rPr>
      <t>」</t>
    </r>
  </si>
  <si>
    <t>G-7</t>
  </si>
  <si>
    <t>完売に必要な人数の目安</t>
  </si>
  <si>
    <r>
      <rPr>
        <rFont val="Noto Sans CJK SC"/>
        <color rgb="FF000000"/>
        <sz val="9.0"/>
      </rPr>
      <t xml:space="preserve">総口数 </t>
    </r>
    <r>
      <rPr>
        <rFont val="Yu Gothic"/>
        <color rgb="FF000000"/>
        <sz val="9.0"/>
      </rPr>
      <t>÷ 1</t>
    </r>
    <r>
      <rPr>
        <rFont val="Noto Sans CJK SC"/>
        <color rgb="FF000000"/>
        <sz val="9.0"/>
      </rPr>
      <t>人あたり累計上限。少なすぎる＝少人数で買い占められる設計</t>
    </r>
  </si>
  <si>
    <r>
      <rPr>
        <rFont val="Noto Sans CJK SC"/>
        <color rgb="FF1F3864"/>
        <sz val="8.0"/>
      </rPr>
      <t>＝総口数</t>
    </r>
    <r>
      <rPr>
        <rFont val="Yu Gothic"/>
        <color rgb="FF1F3864"/>
        <sz val="8.0"/>
      </rPr>
      <t>÷</t>
    </r>
    <r>
      <rPr>
        <rFont val="Noto Sans CJK SC"/>
        <color rgb="FF1F3864"/>
        <sz val="8.0"/>
      </rPr>
      <t>累計上限</t>
    </r>
  </si>
  <si>
    <r>
      <rPr>
        <rFont val="Yu Gothic"/>
        <color rgb="FF000000"/>
        <sz val="9.0"/>
      </rPr>
      <t xml:space="preserve">5,000 ÷ 300 </t>
    </r>
    <r>
      <rPr>
        <rFont val="Noto Sans CJK SC"/>
        <color rgb="FF000000"/>
        <sz val="9.0"/>
      </rPr>
      <t>＝ 約</t>
    </r>
    <r>
      <rPr>
        <rFont val="Yu Gothic"/>
        <color rgb="FF000000"/>
        <sz val="9.0"/>
      </rPr>
      <t>17</t>
    </r>
    <r>
      <rPr>
        <rFont val="Noto Sans CJK SC"/>
        <color rgb="FF000000"/>
        <sz val="9.0"/>
      </rPr>
      <t>人</t>
    </r>
  </si>
  <si>
    <t>G-8</t>
  </si>
  <si>
    <t>途中終了の暗算</t>
  </si>
  <si>
    <r>
      <rPr>
        <rFont val="Noto Sans CJK SC"/>
        <color rgb="FF000000"/>
        <sz val="9.0"/>
      </rPr>
      <t>進捗</t>
    </r>
    <r>
      <rPr>
        <rFont val="Yu Gothic"/>
        <color rgb="FF000000"/>
        <sz val="9.0"/>
      </rPr>
      <t>p×</t>
    </r>
    <r>
      <rPr>
        <rFont val="Noto Sans CJK SC"/>
        <color rgb="FF000000"/>
        <sz val="9.0"/>
      </rPr>
      <t>総売上 − 上位賞の最悪費用。これがマイナスの間に売れ止まると赤字。精密版は自動判定の途中終了ブロック</t>
    </r>
  </si>
  <si>
    <r>
      <rPr>
        <rFont val="Noto Sans CJK SC"/>
        <color rgb="FF1F3864"/>
        <sz val="8.0"/>
      </rPr>
      <t>＝</t>
    </r>
    <r>
      <rPr>
        <rFont val="Yu Gothic"/>
        <color rgb="FF1F3864"/>
        <sz val="8.0"/>
      </rPr>
      <t>p×</t>
    </r>
    <r>
      <rPr>
        <rFont val="Noto Sans CJK SC"/>
        <color rgb="FF1F3864"/>
        <sz val="8.0"/>
      </rPr>
      <t>売上−上位賞最悪費用</t>
    </r>
  </si>
  <si>
    <r>
      <rPr>
        <rFont val="Yu Gothic"/>
        <color rgb="FF000000"/>
        <sz val="9.0"/>
      </rPr>
      <t>30%</t>
    </r>
    <r>
      <rPr>
        <rFont val="Noto Sans CJK SC"/>
        <color rgb="FF000000"/>
        <sz val="9.0"/>
      </rPr>
      <t xml:space="preserve">なら </t>
    </r>
    <r>
      <rPr>
        <rFont val="Yu Gothic"/>
        <color rgb="FF000000"/>
        <sz val="9.0"/>
      </rPr>
      <t xml:space="preserve">1,200,000 − 4,118,000 </t>
    </r>
    <r>
      <rPr>
        <rFont val="Noto Sans CJK SC"/>
        <color rgb="FF000000"/>
        <sz val="9.0"/>
      </rPr>
      <t>＝ ▲</t>
    </r>
    <r>
      <rPr>
        <rFont val="Yu Gothic"/>
        <color rgb="FF000000"/>
        <sz val="9.0"/>
      </rPr>
      <t>2,918,000</t>
    </r>
    <r>
      <rPr>
        <rFont val="Noto Sans CJK SC"/>
        <color rgb="FF000000"/>
        <sz val="9.0"/>
      </rPr>
      <t>円（保証分除く概算）</t>
    </r>
  </si>
  <si>
    <t>G-9</t>
  </si>
  <si>
    <t>ざっくり粗利の暗算</t>
  </si>
  <si>
    <r>
      <rPr>
        <rFont val="Noto Sans CJK SC"/>
        <color rgb="FF000000"/>
        <sz val="9.0"/>
      </rPr>
      <t>総売上 −（実価値合計＋送料合計）−（</t>
    </r>
    <r>
      <rPr>
        <rFont val="Yu Gothic"/>
        <color rgb="FF000000"/>
        <sz val="9.0"/>
      </rPr>
      <t>pt</t>
    </r>
    <r>
      <rPr>
        <rFont val="Noto Sans CJK SC"/>
        <color rgb="FF000000"/>
        <sz val="9.0"/>
      </rPr>
      <t xml:space="preserve">付与見込み </t>
    </r>
    <r>
      <rPr>
        <rFont val="Yu Gothic"/>
        <color rgb="FF000000"/>
        <sz val="9.0"/>
      </rPr>
      <t>× 0.72</t>
    </r>
    <r>
      <rPr>
        <rFont val="Noto Sans CJK SC"/>
        <color rgb="FF000000"/>
        <sz val="9.0"/>
      </rPr>
      <t>）。精密版は自動判定の</t>
    </r>
    <r>
      <rPr>
        <rFont val="Yu Gothic"/>
        <color rgb="FF000000"/>
        <sz val="9.0"/>
      </rPr>
      <t>S4</t>
    </r>
  </si>
  <si>
    <r>
      <rPr>
        <rFont val="Noto Sans CJK SC"/>
        <color rgb="FF1F3864"/>
        <sz val="8.0"/>
      </rPr>
      <t>＝売上−実費−</t>
    </r>
    <r>
      <rPr>
        <rFont val="Yu Gothic"/>
        <color rgb="FF1F3864"/>
        <sz val="8.0"/>
      </rPr>
      <t>pt×0.72</t>
    </r>
  </si>
  <si>
    <r>
      <rPr>
        <rFont val="Noto Sans CJK SC"/>
        <color rgb="FF000000"/>
        <sz val="9.0"/>
      </rPr>
      <t>考え方の確認用。最終判断は</t>
    </r>
    <r>
      <rPr>
        <rFont val="Yu Gothic"/>
        <color rgb="FF000000"/>
        <sz val="9.0"/>
      </rPr>
      <t>S1</t>
    </r>
    <r>
      <rPr>
        <rFont val="Noto Sans CJK SC"/>
        <color rgb="FF000000"/>
        <sz val="9.0"/>
      </rPr>
      <t>〜</t>
    </r>
    <r>
      <rPr>
        <rFont val="Yu Gothic"/>
        <color rgb="FF000000"/>
        <sz val="9.0"/>
      </rPr>
      <t>S4</t>
    </r>
    <r>
      <rPr>
        <rFont val="Noto Sans CJK SC"/>
        <color rgb="FF000000"/>
        <sz val="9.0"/>
      </rPr>
      <t>で</t>
    </r>
  </si>
  <si>
    <t>⑤ 末広がり事案の損害計算 — コーナーズのクエリ回答で黄色セルを埋めると確定値が出ます</t>
  </si>
  <si>
    <t>現金収入（円）</t>
  </si>
  <si>
    <t>本ガチャの現金決済売上（コーナーズ回答）</t>
  </si>
  <si>
    <r>
      <rPr>
        <rFont val="Yu Gothic"/>
        <b/>
        <color rgb="FF000000"/>
        <sz val="10.0"/>
      </rPr>
      <t>1</t>
    </r>
    <r>
      <rPr>
        <rFont val="Noto Sans CJK SC"/>
        <b/>
        <color rgb="FF000000"/>
        <sz val="10.0"/>
      </rPr>
      <t>等 発送原価＋送料保険（円）</t>
    </r>
  </si>
  <si>
    <r>
      <rPr>
        <rFont val="Yu Gothic"/>
        <color rgb="FF595959"/>
        <sz val="8.0"/>
      </rPr>
      <t>1</t>
    </r>
    <r>
      <rPr>
        <rFont val="Noto Sans CJK SC"/>
        <color rgb="FF595959"/>
        <sz val="8.0"/>
      </rPr>
      <t>等の実費</t>
    </r>
  </si>
  <si>
    <r>
      <rPr>
        <rFont val="Noto Sans CJK SC"/>
        <b/>
        <color rgb="FF000000"/>
        <sz val="10.0"/>
      </rPr>
      <t>本ガチャへの投入</t>
    </r>
    <r>
      <rPr>
        <rFont val="Yu Gothic"/>
        <b/>
        <color rgb="FF000000"/>
        <sz val="10.0"/>
      </rPr>
      <t>pt</t>
    </r>
    <r>
      <rPr>
        <rFont val="Noto Sans CJK SC"/>
        <b/>
        <color rgb="FF000000"/>
        <sz val="10.0"/>
      </rPr>
      <t>総額</t>
    </r>
  </si>
  <si>
    <r>
      <rPr>
        <rFont val="Noto Sans CJK SC"/>
        <color rgb="FF595959"/>
        <sz val="8.0"/>
      </rPr>
      <t>お客様が本ガチャに使った</t>
    </r>
    <r>
      <rPr>
        <rFont val="Yu Gothic"/>
        <color rgb="FF595959"/>
        <sz val="8.0"/>
      </rPr>
      <t>pt</t>
    </r>
    <r>
      <rPr>
        <rFont val="Noto Sans CJK SC"/>
        <color rgb="FF595959"/>
        <sz val="8.0"/>
      </rPr>
      <t>（要クエリ）</t>
    </r>
  </si>
  <si>
    <r>
      <rPr>
        <rFont val="Noto Sans CJK SC"/>
        <b/>
        <color rgb="FF000000"/>
        <sz val="10.0"/>
      </rPr>
      <t>本ガチャの変換付与</t>
    </r>
    <r>
      <rPr>
        <rFont val="Yu Gothic"/>
        <b/>
        <color rgb="FF000000"/>
        <sz val="10.0"/>
      </rPr>
      <t>pt</t>
    </r>
    <r>
      <rPr>
        <rFont val="Noto Sans CJK SC"/>
        <b/>
        <color rgb="FF000000"/>
        <sz val="10.0"/>
      </rPr>
      <t>総額</t>
    </r>
  </si>
  <si>
    <r>
      <rPr>
        <rFont val="Noto Sans CJK SC"/>
        <color rgb="FF595959"/>
        <sz val="8.0"/>
      </rPr>
      <t>本ガチャが付与した</t>
    </r>
    <r>
      <rPr>
        <rFont val="Yu Gothic"/>
        <color rgb="FF595959"/>
        <sz val="8.0"/>
      </rPr>
      <t>pt</t>
    </r>
    <r>
      <rPr>
        <rFont val="Noto Sans CJK SC"/>
        <color rgb="FF595959"/>
        <sz val="8.0"/>
      </rPr>
      <t>（要クエリ）</t>
    </r>
  </si>
  <si>
    <r>
      <rPr>
        <rFont val="Yu Gothic"/>
        <b/>
        <color rgb="FF000000"/>
        <sz val="10.0"/>
      </rPr>
      <t>4</t>
    </r>
    <r>
      <rPr>
        <rFont val="Noto Sans CJK SC"/>
        <b/>
        <color rgb="FF000000"/>
        <sz val="10.0"/>
      </rPr>
      <t>等 当選件数</t>
    </r>
  </si>
  <si>
    <t>件数</t>
  </si>
  <si>
    <r>
      <rPr>
        <rFont val="Yu Gothic"/>
        <b/>
        <color rgb="FF000000"/>
        <sz val="10.0"/>
      </rPr>
      <t>4</t>
    </r>
    <r>
      <rPr>
        <rFont val="Noto Sans CJK SC"/>
        <b/>
        <color rgb="FF000000"/>
        <sz val="10.0"/>
      </rPr>
      <t>等 発送選択率</t>
    </r>
  </si>
  <si>
    <r>
      <rPr>
        <rFont val="Yu Gothic"/>
        <color rgb="FF595959"/>
        <sz val="8.0"/>
      </rPr>
      <t>0</t>
    </r>
    <r>
      <rPr>
        <rFont val="Noto Sans CJK SC"/>
        <color rgb="FF595959"/>
        <sz val="8.0"/>
      </rPr>
      <t>〜</t>
    </r>
    <r>
      <rPr>
        <rFont val="Yu Gothic"/>
        <color rgb="FF595959"/>
        <sz val="8.0"/>
      </rPr>
      <t>1</t>
    </r>
    <r>
      <rPr>
        <rFont val="Noto Sans CJK SC"/>
        <color rgb="FF595959"/>
        <sz val="8.0"/>
      </rPr>
      <t>で入力（例：</t>
    </r>
    <r>
      <rPr>
        <rFont val="Yu Gothic"/>
        <color rgb="FF595959"/>
        <sz val="8.0"/>
      </rPr>
      <t>0.35</t>
    </r>
    <r>
      <rPr>
        <rFont val="Noto Sans CJK SC"/>
        <color rgb="FF595959"/>
        <sz val="8.0"/>
      </rPr>
      <t>）</t>
    </r>
  </si>
  <si>
    <r>
      <rPr>
        <rFont val="Yu Gothic"/>
        <b/>
        <color rgb="FF000000"/>
        <sz val="10.0"/>
      </rPr>
      <t>4</t>
    </r>
    <r>
      <rPr>
        <rFont val="Noto Sans CJK SC"/>
        <b/>
        <color rgb="FF000000"/>
        <sz val="10.0"/>
      </rPr>
      <t>等 未選択率</t>
    </r>
  </si>
  <si>
    <r>
      <rPr>
        <rFont val="Yu Gothic"/>
        <color rgb="FF595959"/>
        <sz val="8.0"/>
      </rPr>
      <t>0</t>
    </r>
    <r>
      <rPr>
        <rFont val="Noto Sans CJK SC"/>
        <color rgb="FF595959"/>
        <sz val="8.0"/>
      </rPr>
      <t>〜</t>
    </r>
    <r>
      <rPr>
        <rFont val="Yu Gothic"/>
        <color rgb="FF595959"/>
        <sz val="8.0"/>
      </rPr>
      <t>1</t>
    </r>
    <r>
      <rPr>
        <rFont val="Noto Sans CJK SC"/>
        <color rgb="FF595959"/>
        <sz val="8.0"/>
      </rPr>
      <t>で入力。発送選択率＋未選択率＝</t>
    </r>
    <r>
      <rPr>
        <rFont val="Yu Gothic"/>
        <color rgb="FF595959"/>
        <sz val="8.0"/>
      </rPr>
      <t>1</t>
    </r>
  </si>
  <si>
    <r>
      <rPr>
        <rFont val="Yu Gothic"/>
        <b/>
        <color rgb="FF000000"/>
        <sz val="10.0"/>
      </rPr>
      <t>4</t>
    </r>
    <r>
      <rPr>
        <rFont val="Noto Sans CJK SC"/>
        <b/>
        <color rgb="FF000000"/>
        <sz val="10.0"/>
      </rPr>
      <t>等 発送実費</t>
    </r>
    <r>
      <rPr>
        <rFont val="Yu Gothic"/>
        <b/>
        <color rgb="FF000000"/>
        <sz val="10.0"/>
      </rPr>
      <t>/</t>
    </r>
    <r>
      <rPr>
        <rFont val="Noto Sans CJK SC"/>
        <b/>
        <color rgb="FF000000"/>
        <sz val="10.0"/>
      </rPr>
      <t>件（円）</t>
    </r>
  </si>
  <si>
    <r>
      <rPr>
        <rFont val="Yu Gothic"/>
        <color rgb="FF595959"/>
        <sz val="8.0"/>
      </rPr>
      <t>1</t>
    </r>
    <r>
      <rPr>
        <rFont val="Noto Sans CJK SC"/>
        <color rgb="FF595959"/>
        <sz val="8.0"/>
      </rPr>
      <t>件あたりの発送コスト</t>
    </r>
  </si>
  <si>
    <r>
      <rPr>
        <rFont val="Yu Gothic"/>
        <b/>
        <color rgb="FF000000"/>
        <sz val="10.0"/>
      </rPr>
      <t>4</t>
    </r>
    <r>
      <rPr>
        <rFont val="Noto Sans CJK SC"/>
        <b/>
        <color rgb="FF000000"/>
        <sz val="10.0"/>
      </rPr>
      <t>等 未選択引当</t>
    </r>
    <r>
      <rPr>
        <rFont val="Yu Gothic"/>
        <b/>
        <color rgb="FF000000"/>
        <sz val="10.0"/>
      </rPr>
      <t>/</t>
    </r>
    <r>
      <rPr>
        <rFont val="Noto Sans CJK SC"/>
        <b/>
        <color rgb="FF000000"/>
        <sz val="10.0"/>
      </rPr>
      <t>件（円）</t>
    </r>
  </si>
  <si>
    <t>未選択分の引当単価</t>
  </si>
  <si>
    <r>
      <rPr>
        <rFont val="Yu Gothic"/>
        <b/>
        <color rgb="FF000000"/>
        <sz val="10.0"/>
      </rPr>
      <t>pt</t>
    </r>
    <r>
      <rPr>
        <rFont val="Noto Sans CJK SC"/>
        <b/>
        <color rgb="FF000000"/>
        <sz val="10.0"/>
      </rPr>
      <t>実質原価率（設計入力より）</t>
    </r>
  </si>
  <si>
    <t>設計入力の値を自動参照</t>
  </si>
  <si>
    <r>
      <rPr>
        <rFont val="Yu Gothic"/>
        <b/>
        <color rgb="FF000000"/>
        <sz val="10.0"/>
      </rPr>
      <t>Δpt</t>
    </r>
    <r>
      <rPr>
        <rFont val="Noto Sans CJK SC"/>
        <b/>
        <color rgb="FF000000"/>
        <sz val="10.0"/>
      </rPr>
      <t>残高（額面）＝付与−投入</t>
    </r>
  </si>
  <si>
    <r>
      <rPr>
        <rFont val="Noto Sans CJK SC"/>
        <color rgb="FF595959"/>
        <sz val="8.0"/>
      </rPr>
      <t>プラス＝</t>
    </r>
    <r>
      <rPr>
        <rFont val="Yu Gothic"/>
        <color rgb="FF595959"/>
        <sz val="8.0"/>
      </rPr>
      <t>pt</t>
    </r>
    <r>
      <rPr>
        <rFont val="Noto Sans CJK SC"/>
        <color rgb="FF595959"/>
        <sz val="8.0"/>
      </rPr>
      <t>が増えた分</t>
    </r>
  </si>
  <si>
    <r>
      <rPr>
        <rFont val="Yu Gothic"/>
        <b/>
        <color rgb="FF000000"/>
        <sz val="10.0"/>
      </rPr>
      <t>Δpt</t>
    </r>
    <r>
      <rPr>
        <rFont val="Noto Sans CJK SC"/>
        <b/>
        <color rgb="FF000000"/>
        <sz val="10.0"/>
      </rPr>
      <t>残高の実質コスト</t>
    </r>
  </si>
  <si>
    <r>
      <rPr>
        <rFont val="Yu Gothic"/>
        <color rgb="FF595959"/>
        <sz val="8.0"/>
      </rPr>
      <t xml:space="preserve">Δpt × </t>
    </r>
    <r>
      <rPr>
        <rFont val="Noto Sans CJK SC"/>
        <color rgb="FF595959"/>
        <sz val="8.0"/>
      </rPr>
      <t>原価率</t>
    </r>
  </si>
  <si>
    <r>
      <rPr>
        <rFont val="Yu Gothic"/>
        <b/>
        <color rgb="FF000000"/>
        <sz val="10.0"/>
      </rPr>
      <t>4</t>
    </r>
    <r>
      <rPr>
        <rFont val="Noto Sans CJK SC"/>
        <b/>
        <color rgb="FF000000"/>
        <sz val="10.0"/>
      </rPr>
      <t>等 発送実費</t>
    </r>
  </si>
  <si>
    <r>
      <rPr>
        <rFont val="Noto Sans CJK SC"/>
        <color rgb="FF595959"/>
        <sz val="8.0"/>
      </rPr>
      <t>件数</t>
    </r>
    <r>
      <rPr>
        <rFont val="Yu Gothic"/>
        <color rgb="FF595959"/>
        <sz val="8.0"/>
      </rPr>
      <t>×</t>
    </r>
    <r>
      <rPr>
        <rFont val="Noto Sans CJK SC"/>
        <color rgb="FF595959"/>
        <sz val="8.0"/>
      </rPr>
      <t>発送選択率</t>
    </r>
    <r>
      <rPr>
        <rFont val="Yu Gothic"/>
        <color rgb="FF595959"/>
        <sz val="8.0"/>
      </rPr>
      <t>×</t>
    </r>
    <r>
      <rPr>
        <rFont val="Noto Sans CJK SC"/>
        <color rgb="FF595959"/>
        <sz val="8.0"/>
      </rPr>
      <t>実費</t>
    </r>
    <r>
      <rPr>
        <rFont val="Yu Gothic"/>
        <color rgb="FF595959"/>
        <sz val="8.0"/>
      </rPr>
      <t>/</t>
    </r>
    <r>
      <rPr>
        <rFont val="Noto Sans CJK SC"/>
        <color rgb="FF595959"/>
        <sz val="8.0"/>
      </rPr>
      <t>件</t>
    </r>
  </si>
  <si>
    <r>
      <rPr>
        <rFont val="Yu Gothic"/>
        <b/>
        <color rgb="FF000000"/>
        <sz val="10.0"/>
      </rPr>
      <t>4</t>
    </r>
    <r>
      <rPr>
        <rFont val="Noto Sans CJK SC"/>
        <b/>
        <color rgb="FF000000"/>
        <sz val="10.0"/>
      </rPr>
      <t>等 未選択引当</t>
    </r>
  </si>
  <si>
    <r>
      <rPr>
        <rFont val="Noto Sans CJK SC"/>
        <color rgb="FF595959"/>
        <sz val="8.0"/>
      </rPr>
      <t>件数</t>
    </r>
    <r>
      <rPr>
        <rFont val="Yu Gothic"/>
        <color rgb="FF595959"/>
        <sz val="8.0"/>
      </rPr>
      <t>×</t>
    </r>
    <r>
      <rPr>
        <rFont val="Noto Sans CJK SC"/>
        <color rgb="FF595959"/>
        <sz val="8.0"/>
      </rPr>
      <t>未選択率</t>
    </r>
    <r>
      <rPr>
        <rFont val="Yu Gothic"/>
        <color rgb="FF595959"/>
        <sz val="8.0"/>
      </rPr>
      <t>×</t>
    </r>
    <r>
      <rPr>
        <rFont val="Noto Sans CJK SC"/>
        <color rgb="FF595959"/>
        <sz val="8.0"/>
      </rPr>
      <t>引当</t>
    </r>
    <r>
      <rPr>
        <rFont val="Yu Gothic"/>
        <color rgb="FF595959"/>
        <sz val="8.0"/>
      </rPr>
      <t>/</t>
    </r>
    <r>
      <rPr>
        <rFont val="Noto Sans CJK SC"/>
        <color rgb="FF595959"/>
        <sz val="8.0"/>
      </rPr>
      <t>件</t>
    </r>
  </si>
  <si>
    <t>■ 損害合計（現時点推計）</t>
  </si>
  <si>
    <t>マイナス＝損害額。プラスなら持ち出しなし</t>
  </si>
  <si>
    <r>
      <rPr>
        <rFont val="Noto Sans CJK SC"/>
        <color rgb="FF595959"/>
        <sz val="9.0"/>
      </rPr>
      <t>※ 変換済みで再投入された</t>
    </r>
    <r>
      <rPr>
        <rFont val="Yu Gothic"/>
        <color rgb="FF595959"/>
        <sz val="9.0"/>
      </rPr>
      <t>pt</t>
    </r>
    <r>
      <rPr>
        <rFont val="Noto Sans CJK SC"/>
        <color rgb="FF595959"/>
        <sz val="9.0"/>
      </rPr>
      <t>のコストは</t>
    </r>
    <r>
      <rPr>
        <rFont val="Yu Gothic"/>
        <color rgb="FF595959"/>
        <sz val="9.0"/>
      </rPr>
      <t>Δpt</t>
    </r>
    <r>
      <rPr>
        <rFont val="Noto Sans CJK SC"/>
        <color rgb="FF595959"/>
        <sz val="9.0"/>
      </rPr>
      <t>残高に織り込み済み（二重計上しないこと）。</t>
    </r>
  </si>
  <si>
    <r>
      <rPr>
        <rFont val="Noto Sans CJK SC"/>
        <color rgb="FF595959"/>
        <sz val="9.0"/>
      </rPr>
      <t>※ プラットフォーム全体の</t>
    </r>
    <r>
      <rPr>
        <rFont val="Yu Gothic"/>
        <color rgb="FF595959"/>
        <sz val="9.0"/>
      </rPr>
      <t>pt</t>
    </r>
    <r>
      <rPr>
        <rFont val="Noto Sans CJK SC"/>
        <color rgb="FF595959"/>
        <sz val="9.0"/>
      </rPr>
      <t>負債は別途：</t>
    </r>
    <r>
      <rPr>
        <rFont val="Yu Gothic"/>
        <color rgb="FF595959"/>
        <sz val="9.0"/>
      </rPr>
      <t>SUM(</t>
    </r>
    <r>
      <rPr>
        <rFont val="Noto Sans CJK SC"/>
        <color rgb="FF595959"/>
        <sz val="9.0"/>
      </rPr>
      <t>全ウォレット残高</t>
    </r>
    <r>
      <rPr>
        <rFont val="Yu Gothic"/>
        <color rgb="FF595959"/>
        <sz val="9.0"/>
      </rPr>
      <t xml:space="preserve">) × </t>
    </r>
    <r>
      <rPr>
        <rFont val="Noto Sans CJK SC"/>
        <color rgb="FF595959"/>
        <sz val="9.0"/>
      </rPr>
      <t>実質原価率 を税理士と会計計上。</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</si>
</sst>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0;[RED]\(#,##0\)"/>
    <numFmt numFmtId="166" formatCode="#,##0.0"/>
    <numFmt numFmtId="167" formatCode="yyyy/mm/dd"/>
  </numFmts>
  <fonts count="30">
    <font>
      <sz val="11.0"/>
      <color theme="1"/>
      <name val="Calibri"/>
      <scheme val="minor"/>
    </font>
    <font>
      <b/>
      <sz val="13.0"/>
      <color rgb="FF000000"/>
      <name val="Noto Sans"/>
    </font>
    <font>
      <b/>
      <sz val="10.0"/>
      <color rgb="FF000000"/>
      <name val="Yu Gothic"/>
    </font>
    <font>
      <sz val="10.0"/>
      <color rgb="FF000000"/>
      <name val="Yu Gothic"/>
    </font>
    <font>
      <b/>
      <sz val="10.0"/>
      <color rgb="FF000000"/>
      <name val="Noto Sans"/>
    </font>
    <font>
      <sz val="10.0"/>
      <color rgb="FF0000FF"/>
      <name val="Noto Sans"/>
    </font>
    <font>
      <sz val="10.0"/>
      <color rgb="FF000000"/>
      <name val="Noto Sans"/>
    </font>
    <font>
      <b/>
      <sz val="11.0"/>
      <color rgb="FFC00000"/>
      <name val="Noto Sans"/>
    </font>
    <font>
      <sz val="10.0"/>
      <color rgb="FFC00000"/>
      <name val="Noto Sans"/>
    </font>
    <font/>
    <font>
      <color theme="1"/>
      <name val="Calibri"/>
      <scheme val="minor"/>
    </font>
    <font>
      <sz val="9.0"/>
      <color rgb="FF595959"/>
      <name val="Noto Sans"/>
    </font>
    <font>
      <sz val="10.0"/>
      <color rgb="FF0000FF"/>
      <name val="Arial"/>
    </font>
    <font>
      <sz val="9.0"/>
      <color rgb="FF595959"/>
      <name val="Yu Gothic"/>
    </font>
    <font>
      <sz val="10.0"/>
      <color rgb="FF0000FF"/>
      <name val="Yu Gothic"/>
    </font>
    <font>
      <b/>
      <sz val="9.0"/>
      <color rgb="FFFFFFFF"/>
      <name val="Noto Sans"/>
    </font>
    <font>
      <sz val="8.0"/>
      <color rgb="FF595959"/>
      <name val="Noto Sans"/>
    </font>
    <font>
      <color theme="1"/>
      <name val="Arial"/>
    </font>
    <font>
      <sz val="11.0"/>
      <color theme="1"/>
      <name val="Calibri"/>
    </font>
    <font>
      <sz val="8.0"/>
      <color rgb="FF595959"/>
      <name val="Yu Gothic"/>
    </font>
    <font>
      <b/>
      <sz val="12.0"/>
      <color rgb="FF000000"/>
      <name val="Noto Sans"/>
    </font>
    <font>
      <b/>
      <sz val="11.0"/>
      <color rgb="FF000000"/>
      <name val="Yu Gothic"/>
    </font>
    <font>
      <b/>
      <sz val="9.0"/>
      <color rgb="FFFFFFFF"/>
      <name val="Yu Gothic"/>
    </font>
    <font>
      <sz val="9.0"/>
      <color rgb="FF000000"/>
      <name val="Yu Gothic"/>
    </font>
    <font>
      <sz val="8.0"/>
      <color rgb="FF000000"/>
      <name val="Noto Sans"/>
    </font>
    <font>
      <b/>
      <sz val="9.0"/>
      <color rgb="FF000000"/>
      <name val="Noto Sans"/>
    </font>
    <font>
      <sz val="9.0"/>
      <color rgb="FF000000"/>
      <name val="Noto Sans"/>
    </font>
    <font>
      <sz val="8.0"/>
      <color rgb="FF1F3864"/>
      <name val="Noto Sans"/>
    </font>
    <font>
      <b/>
      <sz val="9.0"/>
      <color rgb="FF000000"/>
      <name val="Yu Gothic"/>
    </font>
    <font>
      <b/>
      <sz val="11.0"/>
      <color rgb="FF000000"/>
      <name val="Noto Sans"/>
    </font>
  </fonts>
  <fills count="6">
    <fill>
      <patternFill patternType="none"/>
    </fill>
    <fill>
      <patternFill patternType="lightGray"/>
    </fill>
    <fill>
      <patternFill patternType="solid">
        <fgColor rgb="FFFFCB05"/>
        <bgColor rgb="FFFFCB05"/>
      </patternFill>
    </fill>
    <fill>
      <patternFill patternType="solid">
        <fgColor rgb="FFD9D9D9"/>
        <bgColor rgb="FFD9D9D9"/>
      </patternFill>
    </fill>
    <fill>
      <patternFill patternType="solid">
        <fgColor rgb="FFFFF2CC"/>
        <bgColor rgb="FFFFF2CC"/>
      </patternFill>
    </fill>
    <fill>
      <patternFill patternType="solid">
        <fgColor rgb="FF1F3864"/>
        <bgColor rgb="FF1F3864"/>
      </patternFill>
    </fill>
  </fills>
  <borders count="10">
    <border/>
    <border>
      <left/>
      <right/>
      <top/>
      <bottom/>
    </border>
    <border>
      <left style="thin">
        <color rgb="FFBFBFBF"/>
      </left>
      <right style="thin">
        <color rgb="FFBFBFBF"/>
      </right>
      <top style="thin">
        <color rgb="FFBFBFBF"/>
      </top>
      <bottom style="thin">
        <color rgb="FFBFBFBF"/>
      </bottom>
    </border>
    <border>
      <left/>
      <top/>
      <bottom/>
    </border>
    <border>
      <top/>
      <bottom/>
    </border>
    <border>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1" fillId="3" fontId="2" numFmtId="0" xfId="0" applyAlignment="1" applyBorder="1" applyFill="1" applyFont="1">
      <alignment shrinkToFit="0" vertical="bottom" wrapText="0"/>
    </xf>
    <xf borderId="0" fillId="0" fontId="3" numFmtId="0" xfId="0" applyAlignment="1" applyFont="1">
      <alignment shrinkToFit="0" vertical="top" wrapText="1"/>
    </xf>
    <xf borderId="1" fillId="3" fontId="4" numFmtId="0" xfId="0" applyAlignment="1" applyBorder="1" applyFont="1">
      <alignment shrinkToFit="0" vertical="bottom" wrapText="0"/>
    </xf>
    <xf borderId="2" fillId="4" fontId="5" numFmtId="0" xfId="0" applyAlignment="1" applyBorder="1" applyFill="1" applyFont="1">
      <alignment shrinkToFit="0" vertical="bottom" wrapText="0"/>
    </xf>
    <xf borderId="2" fillId="0" fontId="6" numFmtId="0" xfId="0" applyAlignment="1" applyBorder="1" applyFont="1">
      <alignment shrinkToFit="0" vertical="bottom" wrapText="0"/>
    </xf>
    <xf borderId="0" fillId="0" fontId="6" numFmtId="0" xfId="0" applyAlignment="1" applyFont="1">
      <alignment shrinkToFit="0" vertical="top" wrapText="1"/>
    </xf>
    <xf borderId="0" fillId="0" fontId="7" numFmtId="0" xfId="0" applyAlignment="1" applyFont="1">
      <alignment shrinkToFit="0" vertical="bottom" wrapText="0"/>
    </xf>
    <xf borderId="0" fillId="0" fontId="8" numFmtId="0" xfId="0" applyAlignment="1" applyFont="1">
      <alignment shrinkToFit="0" vertical="top" wrapText="1"/>
    </xf>
    <xf borderId="3" fillId="2" fontId="1" numFmtId="0" xfId="0" applyAlignment="1" applyBorder="1" applyFont="1">
      <alignment horizontal="left" shrinkToFit="0" vertical="center" wrapText="0"/>
    </xf>
    <xf borderId="4" fillId="0" fontId="9" numFmtId="0" xfId="0" applyBorder="1" applyFont="1"/>
    <xf borderId="5" fillId="0" fontId="9" numFmtId="0" xfId="0" applyBorder="1" applyFont="1"/>
    <xf borderId="0" fillId="0" fontId="10" numFmtId="0" xfId="0" applyAlignment="1" applyFont="1">
      <alignment horizontal="center"/>
    </xf>
    <xf borderId="0" fillId="0" fontId="11" numFmtId="0" xfId="0" applyAlignment="1" applyFont="1">
      <alignment horizontal="left" shrinkToFit="0" vertical="top" wrapText="1"/>
    </xf>
    <xf borderId="3" fillId="3" fontId="4" numFmtId="0" xfId="0" applyAlignment="1" applyBorder="1" applyFont="1">
      <alignment horizontal="center" shrinkToFit="0" vertical="bottom" wrapText="0"/>
    </xf>
    <xf borderId="6" fillId="0" fontId="4" numFmtId="0" xfId="0" applyAlignment="1" applyBorder="1" applyFont="1">
      <alignment horizontal="center" shrinkToFit="0" vertical="center" wrapText="1"/>
    </xf>
    <xf borderId="7" fillId="0" fontId="9" numFmtId="0" xfId="0" applyBorder="1" applyFont="1"/>
    <xf borderId="8" fillId="0" fontId="9" numFmtId="0" xfId="0" applyBorder="1" applyFont="1"/>
    <xf borderId="2" fillId="4" fontId="5" numFmtId="0" xfId="0" applyAlignment="1" applyBorder="1" applyFont="1">
      <alignment horizontal="center" readingOrder="0" shrinkToFit="0" vertical="bottom" wrapText="0"/>
    </xf>
    <xf borderId="2" fillId="4" fontId="12" numFmtId="3" xfId="0" applyAlignment="1" applyBorder="1" applyFont="1" applyNumberFormat="1">
      <alignment horizontal="center" readingOrder="0" shrinkToFit="0" vertical="bottom" wrapText="0"/>
    </xf>
    <xf borderId="0" fillId="0" fontId="13" numFmtId="0" xfId="0" applyAlignment="1" applyFont="1">
      <alignment horizontal="left" shrinkToFit="0" vertical="top" wrapText="1"/>
    </xf>
    <xf borderId="6" fillId="0" fontId="2" numFmtId="0" xfId="0" applyAlignment="1" applyBorder="1" applyFont="1">
      <alignment horizontal="center" shrinkToFit="0" vertical="center" wrapText="1"/>
    </xf>
    <xf borderId="2" fillId="4" fontId="14" numFmtId="2" xfId="0" applyAlignment="1" applyBorder="1" applyFont="1" applyNumberFormat="1">
      <alignment horizontal="center" shrinkToFit="0" vertical="bottom" wrapText="0"/>
    </xf>
    <xf borderId="2" fillId="0" fontId="2" numFmtId="3" xfId="0" applyAlignment="1" applyBorder="1" applyFont="1" applyNumberFormat="1">
      <alignment horizontal="center" shrinkToFit="0" vertical="bottom" wrapText="0"/>
    </xf>
    <xf borderId="2" fillId="5" fontId="15" numFmtId="0" xfId="0" applyAlignment="1" applyBorder="1" applyFill="1" applyFont="1">
      <alignment horizontal="center" shrinkToFit="0" vertical="center" wrapText="1"/>
    </xf>
    <xf borderId="2" fillId="4" fontId="12" numFmtId="0" xfId="0" applyAlignment="1" applyBorder="1" applyFont="1">
      <alignment horizontal="center" readingOrder="0" shrinkToFit="0" vertical="bottom" wrapText="0"/>
    </xf>
    <xf borderId="2" fillId="4" fontId="14" numFmtId="0" xfId="0" applyAlignment="1" applyBorder="1" applyFont="1">
      <alignment horizontal="center" shrinkToFit="0" vertical="bottom" wrapText="0"/>
    </xf>
    <xf borderId="2" fillId="4" fontId="12" numFmtId="2" xfId="0" applyAlignment="1" applyBorder="1" applyFont="1" applyNumberFormat="1">
      <alignment horizontal="center" readingOrder="0" shrinkToFit="0" vertical="bottom" wrapText="0"/>
    </xf>
    <xf borderId="2" fillId="0" fontId="3" numFmtId="3" xfId="0" applyAlignment="1" applyBorder="1" applyFont="1" applyNumberFormat="1">
      <alignment horizontal="center" shrinkToFit="0" vertical="bottom" wrapText="0"/>
    </xf>
    <xf borderId="2" fillId="0" fontId="3" numFmtId="10" xfId="0" applyAlignment="1" applyBorder="1" applyFont="1" applyNumberFormat="1">
      <alignment horizontal="center" shrinkToFit="0" vertical="bottom" wrapText="0"/>
    </xf>
    <xf borderId="2" fillId="4" fontId="14" numFmtId="3" xfId="0" applyAlignment="1" applyBorder="1" applyFont="1" applyNumberFormat="1">
      <alignment horizontal="center" shrinkToFit="0" vertical="bottom" wrapText="0"/>
    </xf>
    <xf borderId="2" fillId="0" fontId="16" numFmtId="0" xfId="0" applyAlignment="1" applyBorder="1" applyFont="1">
      <alignment horizontal="center" shrinkToFit="0" vertical="top" wrapText="1"/>
    </xf>
    <xf borderId="2" fillId="4" fontId="14" numFmtId="0" xfId="0" applyAlignment="1" applyBorder="1" applyFont="1">
      <alignment horizontal="center" readingOrder="0" shrinkToFit="0" vertical="bottom" wrapText="0"/>
    </xf>
    <xf borderId="2" fillId="4" fontId="5" numFmtId="0" xfId="0" applyAlignment="1" applyBorder="1" applyFont="1">
      <alignment horizontal="center" shrinkToFit="0" vertical="bottom" wrapText="0"/>
    </xf>
    <xf borderId="2" fillId="4" fontId="14" numFmtId="3" xfId="0" applyAlignment="1" applyBorder="1" applyFont="1" applyNumberFormat="1">
      <alignment horizontal="center" readingOrder="0" shrinkToFit="0" vertical="bottom" wrapText="0"/>
    </xf>
    <xf borderId="9" fillId="0" fontId="17" numFmtId="164" xfId="0" applyAlignment="1" applyBorder="1" applyFont="1" applyNumberFormat="1">
      <alignment horizontal="center" shrinkToFit="0" vertical="center" wrapText="1"/>
    </xf>
    <xf borderId="2" fillId="4" fontId="14" numFmtId="2" xfId="0" applyAlignment="1" applyBorder="1" applyFont="1" applyNumberFormat="1">
      <alignment horizontal="center" readingOrder="0" shrinkToFit="0" vertical="bottom" wrapText="0"/>
    </xf>
    <xf borderId="2" fillId="3" fontId="4" numFmtId="0" xfId="0" applyAlignment="1" applyBorder="1" applyFont="1">
      <alignment horizontal="center" shrinkToFit="0" vertical="center" wrapText="1"/>
    </xf>
    <xf borderId="2" fillId="3" fontId="18" numFmtId="0" xfId="0" applyAlignment="1" applyBorder="1" applyFont="1">
      <alignment horizontal="center" shrinkToFit="0" vertical="bottom" wrapText="0"/>
    </xf>
    <xf borderId="2" fillId="0" fontId="2" numFmtId="10" xfId="0" applyAlignment="1" applyBorder="1" applyFont="1" applyNumberFormat="1">
      <alignment horizontal="center" shrinkToFit="0" vertical="bottom" wrapText="0"/>
    </xf>
    <xf borderId="0" fillId="0" fontId="11" numFmtId="0" xfId="0" applyAlignment="1" applyFont="1">
      <alignment horizontal="center" shrinkToFit="0" vertical="top" wrapText="1"/>
    </xf>
    <xf borderId="3" fillId="2" fontId="1" numFmtId="0" xfId="0" applyAlignment="1" applyBorder="1" applyFont="1">
      <alignment horizontal="center" shrinkToFit="0" vertical="center" wrapText="0"/>
    </xf>
    <xf borderId="2" fillId="0" fontId="4"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0" fontId="19" numFmtId="0" xfId="0" applyAlignment="1" applyBorder="1" applyFont="1">
      <alignment horizontal="center" shrinkToFit="0" vertical="top" wrapText="1"/>
    </xf>
    <xf borderId="2" fillId="4" fontId="14" numFmtId="10" xfId="0" applyAlignment="1" applyBorder="1" applyFont="1" applyNumberFormat="1">
      <alignment horizontal="center" shrinkToFit="0" vertical="bottom" wrapText="0"/>
    </xf>
    <xf borderId="2" fillId="0" fontId="6" numFmtId="0" xfId="0" applyAlignment="1" applyBorder="1" applyFont="1">
      <alignment horizontal="center" shrinkToFit="0" vertical="bottom" wrapText="0"/>
    </xf>
    <xf borderId="2" fillId="0" fontId="3" numFmtId="1" xfId="0" applyAlignment="1" applyBorder="1" applyFont="1" applyNumberFormat="1">
      <alignment horizontal="center" shrinkToFit="0" vertical="bottom" wrapText="0"/>
    </xf>
    <xf borderId="2" fillId="0" fontId="2" numFmtId="0" xfId="0" applyAlignment="1" applyBorder="1" applyFont="1">
      <alignment horizontal="center" shrinkToFit="0" vertical="center" wrapText="1"/>
    </xf>
    <xf borderId="2" fillId="0" fontId="3" numFmtId="165" xfId="0" applyAlignment="1" applyBorder="1" applyFont="1" applyNumberFormat="1">
      <alignment horizontal="center" shrinkToFit="0" vertical="bottom" wrapText="0"/>
    </xf>
    <xf borderId="2" fillId="4" fontId="14" numFmtId="165" xfId="0" applyAlignment="1" applyBorder="1" applyFont="1" applyNumberFormat="1">
      <alignment horizontal="center" shrinkToFit="0" vertical="bottom" wrapText="0"/>
    </xf>
    <xf borderId="2" fillId="4" fontId="14" numFmtId="9" xfId="0" applyAlignment="1" applyBorder="1" applyFont="1" applyNumberFormat="1">
      <alignment horizontal="center" shrinkToFit="0" vertical="bottom" wrapText="0"/>
    </xf>
    <xf borderId="2" fillId="2" fontId="20" numFmtId="0" xfId="0" applyAlignment="1" applyBorder="1" applyFont="1">
      <alignment horizontal="center" shrinkToFit="0" vertical="bottom" wrapText="0"/>
    </xf>
    <xf borderId="2" fillId="2" fontId="18" numFmtId="0" xfId="0" applyAlignment="1" applyBorder="1" applyFont="1">
      <alignment horizontal="center" shrinkToFit="0" vertical="bottom" wrapText="0"/>
    </xf>
    <xf borderId="2" fillId="0" fontId="21" numFmtId="0" xfId="0" applyAlignment="1" applyBorder="1" applyFont="1">
      <alignment horizontal="center" shrinkToFit="0" vertical="center" wrapText="1"/>
    </xf>
    <xf borderId="0" fillId="0" fontId="10" numFmtId="0" xfId="0" applyAlignment="1" applyFont="1">
      <alignment horizontal="center" vertical="center"/>
    </xf>
    <xf borderId="0" fillId="0" fontId="11" numFmtId="0" xfId="0" applyAlignment="1" applyFont="1">
      <alignment horizontal="center" shrinkToFit="0" vertical="center" wrapText="1"/>
    </xf>
    <xf borderId="2" fillId="4" fontId="12" numFmtId="10" xfId="0" applyAlignment="1" applyBorder="1" applyFont="1" applyNumberFormat="1">
      <alignment horizontal="center" readingOrder="0" shrinkToFit="0" vertical="center" wrapText="0"/>
    </xf>
    <xf borderId="2" fillId="0" fontId="3" numFmtId="10" xfId="0" applyAlignment="1" applyBorder="1" applyFont="1" applyNumberFormat="1">
      <alignment horizontal="center" shrinkToFit="0" vertical="center" wrapText="0"/>
    </xf>
    <xf borderId="2" fillId="0" fontId="16" numFmtId="0" xfId="0" applyAlignment="1" applyBorder="1" applyFont="1">
      <alignment horizontal="center" shrinkToFit="0" vertical="center" wrapText="1"/>
    </xf>
    <xf borderId="2" fillId="4" fontId="12" numFmtId="3" xfId="0" applyAlignment="1" applyBorder="1" applyFont="1" applyNumberFormat="1">
      <alignment horizontal="center" readingOrder="0" shrinkToFit="0" vertical="center" wrapText="0"/>
    </xf>
    <xf borderId="2" fillId="0" fontId="3" numFmtId="3" xfId="0" applyAlignment="1" applyBorder="1" applyFont="1" applyNumberFormat="1">
      <alignment horizontal="center" shrinkToFit="0" vertical="center" wrapText="0"/>
    </xf>
    <xf borderId="2" fillId="0" fontId="3" numFmtId="166" xfId="0" applyAlignment="1" applyBorder="1" applyFont="1" applyNumberFormat="1">
      <alignment horizontal="center" shrinkToFit="0" vertical="center" wrapText="0"/>
    </xf>
    <xf borderId="2" fillId="4" fontId="14" numFmtId="3" xfId="0" applyAlignment="1" applyBorder="1" applyFont="1" applyNumberFormat="1">
      <alignment horizontal="center" shrinkToFit="0" vertical="center" wrapText="0"/>
    </xf>
    <xf borderId="3" fillId="3" fontId="4" numFmtId="0" xfId="0" applyAlignment="1" applyBorder="1" applyFont="1">
      <alignment horizontal="center" shrinkToFit="0" vertical="center" wrapText="0"/>
    </xf>
    <xf borderId="2" fillId="4" fontId="5" numFmtId="0" xfId="0" applyAlignment="1" applyBorder="1" applyFont="1">
      <alignment horizontal="center" shrinkToFit="0" vertical="center" wrapText="0"/>
    </xf>
    <xf borderId="2" fillId="4" fontId="14" numFmtId="167" xfId="0" applyAlignment="1" applyBorder="1" applyFont="1" applyNumberFormat="1">
      <alignment horizontal="center" shrinkToFit="0" vertical="center" wrapText="0"/>
    </xf>
    <xf borderId="2" fillId="0" fontId="6" numFmtId="0" xfId="0" applyAlignment="1" applyBorder="1" applyFont="1">
      <alignment horizontal="center" shrinkToFit="0" vertical="center" wrapText="0"/>
    </xf>
    <xf borderId="2" fillId="2" fontId="20" numFmtId="0" xfId="0" applyAlignment="1" applyBorder="1" applyFont="1">
      <alignment horizontal="center" shrinkToFit="0" vertical="center" wrapText="0"/>
    </xf>
    <xf borderId="2" fillId="2" fontId="18" numFmtId="0" xfId="0" applyAlignment="1" applyBorder="1" applyFont="1">
      <alignment horizontal="center" shrinkToFit="0" vertical="center" wrapText="0"/>
    </xf>
    <xf borderId="2" fillId="5" fontId="22" numFmtId="0" xfId="0" applyAlignment="1" applyBorder="1" applyFont="1">
      <alignment horizontal="center" shrinkToFit="0" vertical="center" wrapText="1"/>
    </xf>
    <xf borderId="3" fillId="3" fontId="2" numFmtId="0" xfId="0" applyAlignment="1" applyBorder="1" applyFont="1">
      <alignment horizontal="center" shrinkToFit="0" vertical="center" wrapText="0"/>
    </xf>
    <xf borderId="2" fillId="0" fontId="23" numFmtId="0" xfId="0" applyAlignment="1" applyBorder="1" applyFont="1">
      <alignment horizontal="center" shrinkToFit="0" vertical="center" wrapText="1"/>
    </xf>
    <xf borderId="2" fillId="0" fontId="24" numFmtId="0" xfId="0" applyAlignment="1" applyBorder="1" applyFont="1">
      <alignment horizontal="center" shrinkToFit="0" vertical="center" wrapText="1"/>
    </xf>
    <xf borderId="2" fillId="0" fontId="25" numFmtId="0" xfId="0" applyAlignment="1" applyBorder="1" applyFont="1">
      <alignment horizontal="center" shrinkToFit="0" vertical="center" wrapText="1"/>
    </xf>
    <xf borderId="2" fillId="0" fontId="26" numFmtId="0" xfId="0" applyAlignment="1" applyBorder="1" applyFont="1">
      <alignment horizontal="center" shrinkToFit="0" vertical="center" wrapText="1"/>
    </xf>
    <xf borderId="2" fillId="0" fontId="27" numFmtId="0" xfId="0" applyAlignment="1" applyBorder="1" applyFont="1">
      <alignment horizontal="center" shrinkToFit="0" vertical="center" wrapText="1"/>
    </xf>
    <xf borderId="2" fillId="0" fontId="28" numFmtId="0" xfId="0" applyAlignment="1" applyBorder="1" applyFont="1">
      <alignment horizontal="center" shrinkToFit="0" vertical="center" wrapText="1"/>
    </xf>
    <xf borderId="3" fillId="2" fontId="1" numFmtId="0" xfId="0" applyAlignment="1" applyBorder="1" applyFont="1">
      <alignment shrinkToFit="0" vertical="center" wrapText="0"/>
    </xf>
    <xf borderId="2" fillId="0" fontId="4" numFmtId="0" xfId="0" applyAlignment="1" applyBorder="1" applyFont="1">
      <alignment shrinkToFit="0" vertical="center" wrapText="1"/>
    </xf>
    <xf borderId="2" fillId="4" fontId="14" numFmtId="3" xfId="0" applyAlignment="1" applyBorder="1" applyFont="1" applyNumberFormat="1">
      <alignment shrinkToFit="0" vertical="bottom" wrapText="0"/>
    </xf>
    <xf borderId="2" fillId="0" fontId="16" numFmtId="0" xfId="0" applyAlignment="1" applyBorder="1" applyFont="1">
      <alignment shrinkToFit="0" vertical="top" wrapText="1"/>
    </xf>
    <xf borderId="2" fillId="0" fontId="2" numFmtId="0" xfId="0" applyAlignment="1" applyBorder="1" applyFont="1">
      <alignment shrinkToFit="0" vertical="center" wrapText="1"/>
    </xf>
    <xf borderId="2" fillId="0" fontId="19" numFmtId="0" xfId="0" applyAlignment="1" applyBorder="1" applyFont="1">
      <alignment shrinkToFit="0" vertical="top" wrapText="1"/>
    </xf>
    <xf borderId="2" fillId="4" fontId="14" numFmtId="2" xfId="0" applyAlignment="1" applyBorder="1" applyFont="1" applyNumberFormat="1">
      <alignment shrinkToFit="0" vertical="bottom" wrapText="0"/>
    </xf>
    <xf borderId="2" fillId="0" fontId="3" numFmtId="2" xfId="0" applyAlignment="1" applyBorder="1" applyFont="1" applyNumberFormat="1">
      <alignment shrinkToFit="0" vertical="bottom" wrapText="0"/>
    </xf>
    <xf borderId="2" fillId="0" fontId="3" numFmtId="165" xfId="0" applyAlignment="1" applyBorder="1" applyFont="1" applyNumberFormat="1">
      <alignment shrinkToFit="0" vertical="bottom" wrapText="0"/>
    </xf>
    <xf borderId="2" fillId="2" fontId="29" numFmtId="0" xfId="0" applyAlignment="1" applyBorder="1" applyFont="1">
      <alignment shrinkToFit="0" vertical="bottom" wrapText="0"/>
    </xf>
    <xf borderId="2" fillId="2" fontId="2" numFmtId="165" xfId="0" applyAlignment="1" applyBorder="1" applyFont="1" applyNumberFormat="1">
      <alignment shrinkToFit="0" vertical="bottom" wrapText="0"/>
    </xf>
    <xf borderId="0" fillId="0" fontId="11" numFmtId="0" xfId="0" applyAlignment="1" applyFont="1">
      <alignment shrinkToFit="0" vertical="top" wrapText="1"/>
    </xf>
  </cellXfs>
  <cellStyles count="1">
    <cellStyle xfId="0" name="Normal" builtinId="0"/>
  </cellStyles>
  <dxfs count="4">
    <dxf>
      <font>
        <b/>
        <sz val="10.0"/>
        <color rgb="FF9C0006"/>
        <name val="Yu Gothic"/>
      </font>
      <fill>
        <patternFill patternType="solid">
          <fgColor rgb="FFFFC7CE"/>
          <bgColor rgb="FFFFC7CE"/>
        </patternFill>
      </fill>
      <border/>
    </dxf>
    <dxf>
      <font>
        <b/>
        <sz val="10.0"/>
        <color rgb="FF006100"/>
        <name val="Yu Gothic"/>
      </font>
      <fill>
        <patternFill patternType="solid">
          <fgColor rgb="FFC6EFCE"/>
          <bgColor rgb="FFC6EFCE"/>
        </patternFill>
      </fill>
      <border/>
    </dxf>
    <dxf>
      <font>
        <b/>
        <sz val="10.0"/>
        <color rgb="FF7F6000"/>
        <name val="Yu Gothic"/>
      </font>
      <fill>
        <patternFill patternType="solid">
          <fgColor rgb="FFFFE699"/>
          <bgColor rgb="FFFFE699"/>
        </patternFill>
      </fill>
      <border/>
    </dxf>
    <dxf>
      <font>
        <sz val="10.0"/>
        <color rgb="FF595959"/>
        <name val="Yu Gothic"/>
      </font>
      <fill>
        <patternFill patternType="solid">
          <fgColor rgb="FFE7E6E6"/>
          <bgColor rgb="FFE7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18.0"/>
    <col customWidth="1" min="2" max="26" width="8.71"/>
  </cols>
  <sheetData>
    <row r="1" ht="24.0" customHeight="1">
      <c r="A1" s="1" t="s">
        <v>0</v>
      </c>
    </row>
    <row r="3">
      <c r="A3" s="2" t="s">
        <v>1</v>
      </c>
    </row>
    <row r="4" ht="18.0" customHeight="1">
      <c r="A4" s="3" t="s">
        <v>2</v>
      </c>
    </row>
    <row r="5" ht="18.0" customHeight="1">
      <c r="A5" s="3" t="s">
        <v>3</v>
      </c>
    </row>
    <row r="6" ht="18.0" customHeight="1">
      <c r="A6" s="3" t="s">
        <v>4</v>
      </c>
    </row>
    <row r="7" ht="18.0" customHeight="1">
      <c r="A7" s="3" t="s">
        <v>5</v>
      </c>
    </row>
    <row r="8" ht="18.0" customHeight="1">
      <c r="A8" s="3" t="s">
        <v>6</v>
      </c>
    </row>
    <row r="10">
      <c r="A10" s="4" t="s">
        <v>7</v>
      </c>
    </row>
    <row r="11">
      <c r="A11" s="5" t="s">
        <v>8</v>
      </c>
    </row>
    <row r="12">
      <c r="A12" s="6" t="s">
        <v>9</v>
      </c>
    </row>
    <row r="13">
      <c r="A13" s="7" t="s">
        <v>10</v>
      </c>
    </row>
    <row r="14">
      <c r="A14" s="4" t="s">
        <v>11</v>
      </c>
    </row>
    <row r="15">
      <c r="A15" s="7" t="s">
        <v>12</v>
      </c>
    </row>
    <row r="16">
      <c r="A16" s="7" t="s">
        <v>13</v>
      </c>
    </row>
    <row r="17">
      <c r="A17" s="7" t="s">
        <v>14</v>
      </c>
    </row>
    <row r="18">
      <c r="A18" s="7" t="s">
        <v>15</v>
      </c>
    </row>
    <row r="19">
      <c r="A19" s="7" t="s">
        <v>16</v>
      </c>
    </row>
    <row r="20" ht="15.75" customHeight="1"/>
    <row r="21" ht="15.75" customHeight="1">
      <c r="A21" s="4" t="s">
        <v>17</v>
      </c>
    </row>
    <row r="22" ht="15.75" customHeight="1">
      <c r="A22" s="7" t="s">
        <v>18</v>
      </c>
    </row>
    <row r="23" ht="15.75" customHeight="1">
      <c r="A23" s="7" t="s">
        <v>19</v>
      </c>
    </row>
    <row r="24" ht="15.75" customHeight="1">
      <c r="A24" s="7" t="s">
        <v>20</v>
      </c>
    </row>
    <row r="25" ht="15.75" customHeight="1">
      <c r="A25" s="7" t="s">
        <v>21</v>
      </c>
    </row>
    <row r="26" ht="15.75" customHeight="1">
      <c r="A26" s="7" t="s">
        <v>22</v>
      </c>
    </row>
    <row r="27" ht="15.75" customHeight="1">
      <c r="A27" s="7" t="s">
        <v>23</v>
      </c>
    </row>
    <row r="28" ht="15.75" customHeight="1">
      <c r="A28" s="7" t="s">
        <v>24</v>
      </c>
    </row>
    <row r="29" ht="15.75" customHeight="1">
      <c r="A29" s="7" t="s">
        <v>25</v>
      </c>
    </row>
    <row r="30" ht="15.75" customHeight="1">
      <c r="A30" s="7" t="s">
        <v>26</v>
      </c>
    </row>
    <row r="31" ht="15.75" customHeight="1"/>
    <row r="32" ht="15.75" customHeight="1">
      <c r="A32" s="4" t="s">
        <v>27</v>
      </c>
    </row>
    <row r="33" ht="15.75" customHeight="1">
      <c r="A33" s="8" t="s">
        <v>28</v>
      </c>
    </row>
    <row r="34" ht="15.75" customHeight="1">
      <c r="A34" s="7" t="s">
        <v>29</v>
      </c>
    </row>
    <row r="35" ht="15.75" customHeight="1"/>
    <row r="36" ht="15.75" customHeight="1">
      <c r="A36" s="4" t="s">
        <v>30</v>
      </c>
    </row>
    <row r="37" ht="30.0" customHeight="1">
      <c r="A37" s="7" t="s">
        <v>31</v>
      </c>
    </row>
    <row r="38" ht="15.75" customHeight="1">
      <c r="A38" s="9" t="s">
        <v>32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B05"/>
    <pageSetUpPr/>
  </sheetPr>
  <sheetViews>
    <sheetView showGridLines="0" workbookViewId="0">
      <pane ySplit="13.0" topLeftCell="A14" activePane="bottomLeft" state="frozen"/>
      <selection activeCell="B15" sqref="B15" pane="bottomLeft"/>
    </sheetView>
  </sheetViews>
  <sheetFormatPr customHeight="1" defaultColWidth="14.43" defaultRowHeight="15.0"/>
  <cols>
    <col customWidth="1" min="1" max="1" width="11.0"/>
    <col customWidth="1" min="2" max="2" width="30.0"/>
    <col customWidth="1" min="3" max="3" width="9.0"/>
    <col customWidth="1" min="4" max="4" width="35.86"/>
    <col customWidth="1" min="5" max="5" width="13.0"/>
    <col customWidth="1" min="6" max="6" width="11.0"/>
    <col customWidth="1" min="7" max="7" width="12.0"/>
    <col customWidth="1" min="8" max="8" width="11.0"/>
    <col customWidth="1" min="9" max="9" width="15.0"/>
    <col customWidth="1" min="10" max="10" width="13.0"/>
    <col customWidth="1" min="11" max="11" width="19.86"/>
    <col customWidth="1" min="12" max="12" width="14.0"/>
    <col customWidth="1" min="13" max="13" width="10.0"/>
    <col customWidth="1" min="14" max="14" width="11.0"/>
    <col customWidth="1" min="15" max="15" width="44.0"/>
    <col customWidth="1" min="16" max="26" width="8.71"/>
  </cols>
  <sheetData>
    <row r="1" ht="21.75" customHeight="1">
      <c r="A1" s="10" t="s">
        <v>33</v>
      </c>
      <c r="B1" s="11"/>
      <c r="C1" s="11"/>
      <c r="D1" s="11"/>
      <c r="E1" s="11"/>
      <c r="F1" s="11"/>
      <c r="G1" s="11"/>
      <c r="H1" s="11"/>
      <c r="I1" s="11"/>
      <c r="J1" s="11"/>
      <c r="K1" s="11"/>
      <c r="L1" s="11"/>
      <c r="M1" s="11"/>
      <c r="N1" s="11"/>
      <c r="O1" s="12"/>
      <c r="P1" s="13"/>
      <c r="Q1" s="13"/>
      <c r="R1" s="13"/>
      <c r="S1" s="13"/>
      <c r="T1" s="13"/>
      <c r="U1" s="13"/>
      <c r="V1" s="13"/>
      <c r="W1" s="13"/>
      <c r="X1" s="13"/>
      <c r="Y1" s="13"/>
      <c r="Z1" s="13"/>
    </row>
    <row r="2" ht="15.0" customHeight="1">
      <c r="A2" s="14" t="s">
        <v>34</v>
      </c>
      <c r="P2" s="13"/>
      <c r="Q2" s="13"/>
      <c r="R2" s="13"/>
      <c r="S2" s="13"/>
      <c r="T2" s="13"/>
      <c r="U2" s="13"/>
      <c r="V2" s="13"/>
      <c r="W2" s="13"/>
      <c r="X2" s="13"/>
      <c r="Y2" s="13"/>
      <c r="Z2" s="13"/>
    </row>
    <row r="3">
      <c r="A3" s="15" t="s">
        <v>35</v>
      </c>
      <c r="B3" s="11"/>
      <c r="C3" s="11"/>
      <c r="D3" s="11"/>
      <c r="E3" s="11"/>
      <c r="F3" s="11"/>
      <c r="G3" s="11"/>
      <c r="H3" s="11"/>
      <c r="I3" s="11"/>
      <c r="J3" s="11"/>
      <c r="K3" s="11"/>
      <c r="L3" s="11"/>
      <c r="M3" s="11"/>
      <c r="N3" s="11"/>
      <c r="O3" s="12"/>
      <c r="P3" s="13"/>
      <c r="Q3" s="13"/>
      <c r="R3" s="13"/>
      <c r="S3" s="13"/>
      <c r="T3" s="13"/>
      <c r="U3" s="13"/>
      <c r="V3" s="13"/>
      <c r="W3" s="13"/>
      <c r="X3" s="13"/>
      <c r="Y3" s="13"/>
      <c r="Z3" s="13"/>
    </row>
    <row r="4" ht="15.0" customHeight="1">
      <c r="A4" s="16" t="s">
        <v>36</v>
      </c>
      <c r="B4" s="17"/>
      <c r="C4" s="18"/>
      <c r="D4" s="19" t="s">
        <v>37</v>
      </c>
      <c r="E4" s="14" t="s">
        <v>38</v>
      </c>
      <c r="P4" s="13"/>
      <c r="Q4" s="13"/>
      <c r="R4" s="13"/>
      <c r="S4" s="13"/>
      <c r="T4" s="13"/>
      <c r="U4" s="13"/>
      <c r="V4" s="13"/>
      <c r="W4" s="13"/>
      <c r="X4" s="13"/>
      <c r="Y4" s="13"/>
      <c r="Z4" s="13"/>
    </row>
    <row r="5" ht="15.0" customHeight="1">
      <c r="A5" s="16" t="s">
        <v>39</v>
      </c>
      <c r="B5" s="17"/>
      <c r="C5" s="18"/>
      <c r="D5" s="20">
        <v>53.0</v>
      </c>
      <c r="E5" s="21" t="s">
        <v>40</v>
      </c>
      <c r="P5" s="13"/>
      <c r="Q5" s="13"/>
      <c r="R5" s="13"/>
      <c r="S5" s="13"/>
      <c r="T5" s="13"/>
      <c r="U5" s="13"/>
      <c r="V5" s="13"/>
      <c r="W5" s="13"/>
      <c r="X5" s="13"/>
      <c r="Y5" s="13"/>
      <c r="Z5" s="13"/>
    </row>
    <row r="6" ht="15.0" customHeight="1">
      <c r="A6" s="16" t="s">
        <v>41</v>
      </c>
      <c r="B6" s="17"/>
      <c r="C6" s="18"/>
      <c r="D6" s="20">
        <v>15950.0</v>
      </c>
      <c r="E6" s="14" t="s">
        <v>42</v>
      </c>
      <c r="P6" s="13"/>
      <c r="Q6" s="13"/>
      <c r="R6" s="13"/>
      <c r="S6" s="13"/>
      <c r="T6" s="13"/>
      <c r="U6" s="13"/>
      <c r="V6" s="13"/>
      <c r="W6" s="13"/>
      <c r="X6" s="13"/>
      <c r="Y6" s="13"/>
      <c r="Z6" s="13"/>
    </row>
    <row r="7" ht="15.0" customHeight="1">
      <c r="A7" s="22" t="s">
        <v>43</v>
      </c>
      <c r="B7" s="17"/>
      <c r="C7" s="18"/>
      <c r="D7" s="20" t="s">
        <v>44</v>
      </c>
      <c r="E7" s="14" t="s">
        <v>45</v>
      </c>
      <c r="P7" s="13"/>
      <c r="Q7" s="13"/>
      <c r="R7" s="13"/>
      <c r="S7" s="13"/>
      <c r="T7" s="13"/>
      <c r="U7" s="13"/>
      <c r="V7" s="13"/>
      <c r="W7" s="13"/>
      <c r="X7" s="13"/>
      <c r="Y7" s="13"/>
      <c r="Z7" s="13"/>
    </row>
    <row r="8" ht="15.0" customHeight="1">
      <c r="A8" s="22" t="s">
        <v>46</v>
      </c>
      <c r="B8" s="17"/>
      <c r="C8" s="18"/>
      <c r="D8" s="20" t="s">
        <v>44</v>
      </c>
      <c r="E8" s="14" t="s">
        <v>47</v>
      </c>
      <c r="P8" s="13"/>
      <c r="Q8" s="13"/>
      <c r="R8" s="13"/>
      <c r="S8" s="13"/>
      <c r="T8" s="13"/>
      <c r="U8" s="13"/>
      <c r="V8" s="13"/>
      <c r="W8" s="13"/>
      <c r="X8" s="13"/>
      <c r="Y8" s="13"/>
      <c r="Z8" s="13"/>
    </row>
    <row r="9" ht="15.0" customHeight="1">
      <c r="A9" s="22" t="s">
        <v>48</v>
      </c>
      <c r="B9" s="17"/>
      <c r="C9" s="18"/>
      <c r="D9" s="23"/>
      <c r="E9" s="21" t="s">
        <v>49</v>
      </c>
      <c r="P9" s="13"/>
      <c r="Q9" s="13"/>
      <c r="R9" s="13"/>
      <c r="S9" s="13"/>
      <c r="T9" s="13"/>
      <c r="U9" s="13"/>
      <c r="V9" s="13"/>
      <c r="W9" s="13"/>
      <c r="X9" s="13"/>
      <c r="Y9" s="13"/>
      <c r="Z9" s="13"/>
    </row>
    <row r="10" ht="15.0" customHeight="1">
      <c r="A10" s="16" t="s">
        <v>50</v>
      </c>
      <c r="B10" s="17"/>
      <c r="C10" s="18"/>
      <c r="D10" s="24">
        <f>IF(OR(D5="",D6=""),"",D5*D6)</f>
        <v>845350</v>
      </c>
      <c r="E10" s="14" t="s">
        <v>51</v>
      </c>
      <c r="P10" s="13"/>
      <c r="Q10" s="13"/>
      <c r="R10" s="13"/>
      <c r="S10" s="13"/>
      <c r="T10" s="13"/>
      <c r="U10" s="13"/>
      <c r="V10" s="13"/>
      <c r="W10" s="13"/>
      <c r="X10" s="13"/>
      <c r="Y10" s="13"/>
      <c r="Z10" s="13"/>
    </row>
    <row r="11">
      <c r="A11" s="15" t="s">
        <v>52</v>
      </c>
      <c r="B11" s="11"/>
      <c r="C11" s="11"/>
      <c r="D11" s="11"/>
      <c r="E11" s="11"/>
      <c r="F11" s="11"/>
      <c r="G11" s="11"/>
      <c r="H11" s="11"/>
      <c r="I11" s="11"/>
      <c r="J11" s="11"/>
      <c r="K11" s="11"/>
      <c r="L11" s="11"/>
      <c r="M11" s="11"/>
      <c r="N11" s="11"/>
      <c r="O11" s="12"/>
      <c r="P11" s="13"/>
      <c r="Q11" s="13"/>
      <c r="R11" s="13"/>
      <c r="S11" s="13"/>
      <c r="T11" s="13"/>
      <c r="U11" s="13"/>
      <c r="V11" s="13"/>
      <c r="W11" s="13"/>
      <c r="X11" s="13"/>
      <c r="Y11" s="13"/>
      <c r="Z11" s="13"/>
    </row>
    <row r="12" ht="30.0" customHeight="1">
      <c r="A12" s="25" t="s">
        <v>53</v>
      </c>
      <c r="B12" s="25" t="s">
        <v>54</v>
      </c>
      <c r="C12" s="25" t="s">
        <v>55</v>
      </c>
      <c r="D12" s="25" t="s">
        <v>56</v>
      </c>
      <c r="E12" s="25" t="s">
        <v>57</v>
      </c>
      <c r="F12" s="25" t="s">
        <v>58</v>
      </c>
      <c r="G12" s="25" t="s">
        <v>59</v>
      </c>
      <c r="H12" s="25" t="s">
        <v>60</v>
      </c>
      <c r="I12" s="25" t="s">
        <v>61</v>
      </c>
      <c r="J12" s="25" t="s">
        <v>62</v>
      </c>
      <c r="K12" s="25" t="s">
        <v>63</v>
      </c>
      <c r="L12" s="25" t="s">
        <v>64</v>
      </c>
      <c r="M12" s="25" t="s">
        <v>65</v>
      </c>
      <c r="N12" s="25" t="s">
        <v>66</v>
      </c>
      <c r="O12" s="25" t="s">
        <v>67</v>
      </c>
      <c r="P12" s="13"/>
      <c r="Q12" s="13"/>
      <c r="R12" s="13"/>
      <c r="S12" s="13"/>
      <c r="T12" s="13"/>
      <c r="U12" s="13"/>
      <c r="V12" s="13"/>
      <c r="W12" s="13"/>
      <c r="X12" s="13"/>
      <c r="Y12" s="13"/>
      <c r="Z12" s="13"/>
    </row>
    <row r="13">
      <c r="A13" s="26" t="s">
        <v>68</v>
      </c>
      <c r="B13" s="19" t="s">
        <v>69</v>
      </c>
      <c r="C13" s="27" t="s">
        <v>70</v>
      </c>
      <c r="D13" s="20">
        <v>50.0</v>
      </c>
      <c r="E13" s="20">
        <v>11200.0</v>
      </c>
      <c r="F13" s="20">
        <v>500.0</v>
      </c>
      <c r="G13" s="19" t="s">
        <v>71</v>
      </c>
      <c r="H13" s="28">
        <v>1.43</v>
      </c>
      <c r="I13" s="20"/>
      <c r="J13" s="29">
        <f t="shared" ref="J13:J25" si="1">IF($D13="","",IF($I13&lt;&gt;"",$I13,IF($H13="","",ROUND($E13*$H13,0))))</f>
        <v>16016</v>
      </c>
      <c r="K13" s="29">
        <f t="shared" ref="K13:K25" si="2">IF($D13="","",$D13*$J13)</f>
        <v>800800</v>
      </c>
      <c r="L13" s="29">
        <f t="shared" ref="L13:L25" si="3">IF($D13="","",$D13*$E13)</f>
        <v>560000</v>
      </c>
      <c r="M13" s="30">
        <f t="shared" ref="M13:M25" si="4">IF($D13="","",$D13/$D$6)</f>
        <v>0.003134796238</v>
      </c>
      <c r="N13" s="31"/>
      <c r="O13" s="32"/>
      <c r="P13" s="13"/>
      <c r="Q13" s="13"/>
      <c r="R13" s="13"/>
      <c r="S13" s="13"/>
      <c r="T13" s="13"/>
      <c r="U13" s="13"/>
      <c r="V13" s="13"/>
      <c r="W13" s="13"/>
      <c r="X13" s="13"/>
      <c r="Y13" s="13"/>
      <c r="Z13" s="13"/>
    </row>
    <row r="14">
      <c r="A14" s="26" t="s">
        <v>72</v>
      </c>
      <c r="B14" s="19" t="s">
        <v>73</v>
      </c>
      <c r="C14" s="27" t="s">
        <v>70</v>
      </c>
      <c r="D14" s="20">
        <v>5900.0</v>
      </c>
      <c r="E14" s="20">
        <v>1.0</v>
      </c>
      <c r="F14" s="20">
        <v>0.0</v>
      </c>
      <c r="G14" s="19" t="s">
        <v>74</v>
      </c>
      <c r="H14" s="28">
        <v>2.0</v>
      </c>
      <c r="I14" s="20"/>
      <c r="J14" s="29">
        <f t="shared" si="1"/>
        <v>2</v>
      </c>
      <c r="K14" s="29">
        <f t="shared" si="2"/>
        <v>11800</v>
      </c>
      <c r="L14" s="29">
        <f t="shared" si="3"/>
        <v>5900</v>
      </c>
      <c r="M14" s="30">
        <f t="shared" si="4"/>
        <v>0.3699059561</v>
      </c>
      <c r="N14" s="31"/>
      <c r="O14" s="32"/>
      <c r="P14" s="13"/>
      <c r="Q14" s="13"/>
      <c r="R14" s="13"/>
      <c r="S14" s="13"/>
      <c r="T14" s="13"/>
      <c r="U14" s="13"/>
      <c r="V14" s="13"/>
      <c r="W14" s="13"/>
      <c r="X14" s="13"/>
      <c r="Y14" s="13"/>
      <c r="Z14" s="13"/>
    </row>
    <row r="15">
      <c r="A15" s="26" t="s">
        <v>72</v>
      </c>
      <c r="B15" s="19" t="s">
        <v>75</v>
      </c>
      <c r="C15" s="27"/>
      <c r="D15" s="20">
        <v>10000.0</v>
      </c>
      <c r="E15" s="20">
        <v>1.0</v>
      </c>
      <c r="F15" s="20">
        <v>0.0</v>
      </c>
      <c r="G15" s="19" t="s">
        <v>74</v>
      </c>
      <c r="H15" s="28">
        <v>1.0</v>
      </c>
      <c r="I15" s="20"/>
      <c r="J15" s="29">
        <f t="shared" si="1"/>
        <v>1</v>
      </c>
      <c r="K15" s="29">
        <f t="shared" si="2"/>
        <v>10000</v>
      </c>
      <c r="L15" s="29">
        <f t="shared" si="3"/>
        <v>10000</v>
      </c>
      <c r="M15" s="30">
        <f t="shared" si="4"/>
        <v>0.6269592476</v>
      </c>
      <c r="N15" s="31"/>
      <c r="O15" s="32"/>
      <c r="P15" s="13"/>
      <c r="Q15" s="13"/>
      <c r="R15" s="13"/>
      <c r="S15" s="13"/>
      <c r="T15" s="13"/>
      <c r="U15" s="13"/>
      <c r="V15" s="13"/>
      <c r="W15" s="13"/>
      <c r="X15" s="13"/>
      <c r="Y15" s="13"/>
      <c r="Z15" s="13"/>
    </row>
    <row r="16">
      <c r="A16" s="33"/>
      <c r="B16" s="19"/>
      <c r="C16" s="27"/>
      <c r="D16" s="20"/>
      <c r="E16" s="20"/>
      <c r="F16" s="31"/>
      <c r="G16" s="19"/>
      <c r="H16" s="28"/>
      <c r="I16" s="20"/>
      <c r="J16" s="29" t="str">
        <f t="shared" si="1"/>
        <v/>
      </c>
      <c r="K16" s="29" t="str">
        <f t="shared" si="2"/>
        <v/>
      </c>
      <c r="L16" s="29" t="str">
        <f t="shared" si="3"/>
        <v/>
      </c>
      <c r="M16" s="30" t="str">
        <f t="shared" si="4"/>
        <v/>
      </c>
      <c r="N16" s="31"/>
      <c r="O16" s="32"/>
      <c r="P16" s="13"/>
      <c r="Q16" s="13"/>
      <c r="R16" s="13"/>
      <c r="S16" s="13"/>
      <c r="T16" s="13"/>
      <c r="U16" s="13"/>
      <c r="V16" s="13"/>
      <c r="W16" s="13"/>
      <c r="X16" s="13"/>
      <c r="Y16" s="13"/>
      <c r="Z16" s="13"/>
    </row>
    <row r="17">
      <c r="A17" s="33"/>
      <c r="B17" s="19"/>
      <c r="C17" s="27"/>
      <c r="D17" s="20"/>
      <c r="E17" s="20"/>
      <c r="F17" s="31"/>
      <c r="G17" s="19"/>
      <c r="H17" s="28"/>
      <c r="I17" s="20"/>
      <c r="J17" s="29" t="str">
        <f t="shared" si="1"/>
        <v/>
      </c>
      <c r="K17" s="29" t="str">
        <f t="shared" si="2"/>
        <v/>
      </c>
      <c r="L17" s="29" t="str">
        <f t="shared" si="3"/>
        <v/>
      </c>
      <c r="M17" s="30" t="str">
        <f t="shared" si="4"/>
        <v/>
      </c>
      <c r="N17" s="31"/>
      <c r="O17" s="32"/>
      <c r="P17" s="13"/>
      <c r="Q17" s="13"/>
      <c r="R17" s="13"/>
      <c r="S17" s="13"/>
      <c r="T17" s="13"/>
      <c r="U17" s="13"/>
      <c r="V17" s="13"/>
      <c r="W17" s="13"/>
      <c r="X17" s="13"/>
      <c r="Y17" s="13"/>
      <c r="Z17" s="13"/>
    </row>
    <row r="18" ht="15.75" customHeight="1">
      <c r="A18" s="33"/>
      <c r="B18" s="19"/>
      <c r="C18" s="34"/>
      <c r="D18" s="20"/>
      <c r="E18" s="20"/>
      <c r="F18" s="31"/>
      <c r="G18" s="19"/>
      <c r="H18" s="28"/>
      <c r="I18" s="20"/>
      <c r="J18" s="29" t="str">
        <f t="shared" si="1"/>
        <v/>
      </c>
      <c r="K18" s="29" t="str">
        <f t="shared" si="2"/>
        <v/>
      </c>
      <c r="L18" s="29" t="str">
        <f t="shared" si="3"/>
        <v/>
      </c>
      <c r="M18" s="30" t="str">
        <f t="shared" si="4"/>
        <v/>
      </c>
      <c r="N18" s="31"/>
      <c r="O18" s="32"/>
      <c r="P18" s="13"/>
      <c r="Q18" s="13"/>
      <c r="R18" s="13"/>
      <c r="S18" s="13"/>
      <c r="T18" s="13"/>
      <c r="U18" s="13"/>
      <c r="V18" s="13"/>
      <c r="W18" s="13"/>
      <c r="X18" s="13"/>
      <c r="Y18" s="13"/>
      <c r="Z18" s="13"/>
    </row>
    <row r="19" ht="15.75" customHeight="1">
      <c r="A19" s="33"/>
      <c r="B19" s="19"/>
      <c r="C19" s="34"/>
      <c r="D19" s="20"/>
      <c r="E19" s="20"/>
      <c r="F19" s="31"/>
      <c r="G19" s="19"/>
      <c r="H19" s="28"/>
      <c r="I19" s="20"/>
      <c r="J19" s="29" t="str">
        <f t="shared" si="1"/>
        <v/>
      </c>
      <c r="K19" s="29" t="str">
        <f t="shared" si="2"/>
        <v/>
      </c>
      <c r="L19" s="29" t="str">
        <f t="shared" si="3"/>
        <v/>
      </c>
      <c r="M19" s="30" t="str">
        <f t="shared" si="4"/>
        <v/>
      </c>
      <c r="N19" s="31"/>
      <c r="O19" s="32"/>
      <c r="P19" s="13"/>
      <c r="Q19" s="13"/>
      <c r="R19" s="13"/>
      <c r="S19" s="13"/>
      <c r="T19" s="13"/>
      <c r="U19" s="13"/>
      <c r="V19" s="13"/>
      <c r="W19" s="13"/>
      <c r="X19" s="13"/>
      <c r="Y19" s="13"/>
      <c r="Z19" s="13"/>
    </row>
    <row r="20" ht="15.75" customHeight="1">
      <c r="A20" s="33"/>
      <c r="B20" s="19"/>
      <c r="C20" s="34"/>
      <c r="D20" s="20"/>
      <c r="E20" s="20"/>
      <c r="F20" s="31"/>
      <c r="G20" s="19"/>
      <c r="H20" s="28"/>
      <c r="I20" s="20"/>
      <c r="J20" s="29" t="str">
        <f t="shared" si="1"/>
        <v/>
      </c>
      <c r="K20" s="29" t="str">
        <f t="shared" si="2"/>
        <v/>
      </c>
      <c r="L20" s="29" t="str">
        <f t="shared" si="3"/>
        <v/>
      </c>
      <c r="M20" s="30" t="str">
        <f t="shared" si="4"/>
        <v/>
      </c>
      <c r="N20" s="31"/>
      <c r="O20" s="32"/>
      <c r="P20" s="13"/>
      <c r="Q20" s="13"/>
      <c r="R20" s="13"/>
      <c r="S20" s="13"/>
      <c r="T20" s="13"/>
      <c r="U20" s="13"/>
      <c r="V20" s="13"/>
      <c r="W20" s="13"/>
      <c r="X20" s="13"/>
      <c r="Y20" s="13"/>
      <c r="Z20" s="13"/>
    </row>
    <row r="21" ht="15.75" customHeight="1">
      <c r="A21" s="33"/>
      <c r="B21" s="19"/>
      <c r="C21" s="34"/>
      <c r="D21" s="20"/>
      <c r="E21" s="20"/>
      <c r="F21" s="31"/>
      <c r="G21" s="19"/>
      <c r="H21" s="28"/>
      <c r="I21" s="20"/>
      <c r="J21" s="29" t="str">
        <f t="shared" si="1"/>
        <v/>
      </c>
      <c r="K21" s="29" t="str">
        <f t="shared" si="2"/>
        <v/>
      </c>
      <c r="L21" s="29" t="str">
        <f t="shared" si="3"/>
        <v/>
      </c>
      <c r="M21" s="30" t="str">
        <f t="shared" si="4"/>
        <v/>
      </c>
      <c r="N21" s="31"/>
      <c r="O21" s="32"/>
      <c r="P21" s="13"/>
      <c r="Q21" s="13"/>
      <c r="R21" s="13"/>
      <c r="S21" s="13"/>
      <c r="T21" s="13"/>
      <c r="U21" s="13"/>
      <c r="V21" s="13"/>
      <c r="W21" s="13"/>
      <c r="X21" s="13"/>
      <c r="Y21" s="13"/>
      <c r="Z21" s="13"/>
    </row>
    <row r="22" ht="15.75" customHeight="1">
      <c r="A22" s="33"/>
      <c r="B22" s="19"/>
      <c r="C22" s="34"/>
      <c r="D22" s="20"/>
      <c r="E22" s="20"/>
      <c r="F22" s="31"/>
      <c r="G22" s="19"/>
      <c r="H22" s="28"/>
      <c r="I22" s="20"/>
      <c r="J22" s="29" t="str">
        <f t="shared" si="1"/>
        <v/>
      </c>
      <c r="K22" s="29" t="str">
        <f t="shared" si="2"/>
        <v/>
      </c>
      <c r="L22" s="29" t="str">
        <f t="shared" si="3"/>
        <v/>
      </c>
      <c r="M22" s="30" t="str">
        <f t="shared" si="4"/>
        <v/>
      </c>
      <c r="N22" s="31"/>
      <c r="O22" s="32"/>
      <c r="P22" s="13"/>
      <c r="Q22" s="13"/>
      <c r="R22" s="13"/>
      <c r="S22" s="13"/>
      <c r="T22" s="13"/>
      <c r="U22" s="13"/>
      <c r="V22" s="13"/>
      <c r="W22" s="13"/>
      <c r="X22" s="13"/>
      <c r="Y22" s="13"/>
      <c r="Z22" s="13"/>
    </row>
    <row r="23" ht="15.75" customHeight="1">
      <c r="A23" s="33"/>
      <c r="B23" s="19"/>
      <c r="C23" s="34"/>
      <c r="D23" s="20"/>
      <c r="E23" s="20"/>
      <c r="F23" s="31"/>
      <c r="G23" s="19"/>
      <c r="H23" s="28"/>
      <c r="I23" s="20"/>
      <c r="J23" s="29" t="str">
        <f t="shared" si="1"/>
        <v/>
      </c>
      <c r="K23" s="29" t="str">
        <f t="shared" si="2"/>
        <v/>
      </c>
      <c r="L23" s="29" t="str">
        <f t="shared" si="3"/>
        <v/>
      </c>
      <c r="M23" s="30" t="str">
        <f t="shared" si="4"/>
        <v/>
      </c>
      <c r="N23" s="31"/>
      <c r="O23" s="32"/>
      <c r="P23" s="13"/>
      <c r="Q23" s="13"/>
      <c r="R23" s="13"/>
      <c r="S23" s="13"/>
      <c r="T23" s="13"/>
      <c r="U23" s="13"/>
      <c r="V23" s="13"/>
      <c r="W23" s="13"/>
      <c r="X23" s="13"/>
      <c r="Y23" s="13"/>
      <c r="Z23" s="13"/>
    </row>
    <row r="24" ht="15.75" customHeight="1">
      <c r="A24" s="33"/>
      <c r="B24" s="19"/>
      <c r="C24" s="34"/>
      <c r="D24" s="20"/>
      <c r="E24" s="20"/>
      <c r="F24" s="31"/>
      <c r="G24" s="19"/>
      <c r="H24" s="28"/>
      <c r="I24" s="20"/>
      <c r="J24" s="29" t="str">
        <f t="shared" si="1"/>
        <v/>
      </c>
      <c r="K24" s="29" t="str">
        <f t="shared" si="2"/>
        <v/>
      </c>
      <c r="L24" s="29" t="str">
        <f t="shared" si="3"/>
        <v/>
      </c>
      <c r="M24" s="30" t="str">
        <f t="shared" si="4"/>
        <v/>
      </c>
      <c r="N24" s="31"/>
      <c r="O24" s="32"/>
      <c r="P24" s="13"/>
      <c r="Q24" s="13"/>
      <c r="R24" s="13"/>
      <c r="S24" s="13"/>
      <c r="T24" s="13"/>
      <c r="U24" s="13"/>
      <c r="V24" s="13"/>
      <c r="W24" s="13"/>
      <c r="X24" s="13"/>
      <c r="Y24" s="13"/>
      <c r="Z24" s="13"/>
    </row>
    <row r="25" ht="15.75" customHeight="1">
      <c r="A25" s="33"/>
      <c r="B25" s="19"/>
      <c r="C25" s="34"/>
      <c r="D25" s="20"/>
      <c r="E25" s="20"/>
      <c r="F25" s="31"/>
      <c r="G25" s="19"/>
      <c r="H25" s="28"/>
      <c r="I25" s="20"/>
      <c r="J25" s="29" t="str">
        <f t="shared" si="1"/>
        <v/>
      </c>
      <c r="K25" s="29" t="str">
        <f t="shared" si="2"/>
        <v/>
      </c>
      <c r="L25" s="29" t="str">
        <f t="shared" si="3"/>
        <v/>
      </c>
      <c r="M25" s="30" t="str">
        <f t="shared" si="4"/>
        <v/>
      </c>
      <c r="N25" s="31"/>
      <c r="O25" s="32"/>
      <c r="P25" s="13"/>
      <c r="Q25" s="13"/>
      <c r="R25" s="13"/>
      <c r="S25" s="13"/>
      <c r="T25" s="13"/>
      <c r="U25" s="13"/>
      <c r="V25" s="13"/>
      <c r="W25" s="13"/>
      <c r="X25" s="13"/>
      <c r="Y25" s="13"/>
      <c r="Z25" s="13"/>
    </row>
    <row r="26" ht="15.75" customHeight="1">
      <c r="A26" s="33"/>
      <c r="B26" s="19"/>
      <c r="C26" s="34"/>
      <c r="D26" s="35"/>
      <c r="E26" s="35"/>
      <c r="F26" s="31"/>
      <c r="G26" s="19"/>
      <c r="H26" s="28"/>
      <c r="I26" s="35"/>
      <c r="J26" s="36">
        <f>IFERROR(I26*G26,"")</f>
        <v>0</v>
      </c>
      <c r="K26" s="29"/>
      <c r="L26" s="29"/>
      <c r="M26" s="30"/>
      <c r="N26" s="31"/>
      <c r="O26" s="32"/>
      <c r="P26" s="13"/>
      <c r="Q26" s="13"/>
      <c r="R26" s="13"/>
      <c r="S26" s="13"/>
      <c r="T26" s="13"/>
      <c r="U26" s="13"/>
      <c r="V26" s="13"/>
      <c r="W26" s="13"/>
      <c r="X26" s="13"/>
      <c r="Y26" s="13"/>
      <c r="Z26" s="13"/>
    </row>
    <row r="27" ht="15.75" customHeight="1">
      <c r="A27" s="19"/>
      <c r="B27" s="19"/>
      <c r="C27" s="34"/>
      <c r="D27" s="35"/>
      <c r="E27" s="35"/>
      <c r="F27" s="31"/>
      <c r="G27" s="19"/>
      <c r="H27" s="37"/>
      <c r="I27" s="35"/>
      <c r="J27" s="29" t="str">
        <f t="shared" ref="J27:J33" si="5">IF($D27="","",IF($I27&lt;&gt;"",$I27,IF($H27="","",ROUND($E27*$H27,0))))</f>
        <v/>
      </c>
      <c r="K27" s="29" t="str">
        <f t="shared" ref="K27:K33" si="6">IF($D27="","",$D27*$J27)</f>
        <v/>
      </c>
      <c r="L27" s="29" t="str">
        <f t="shared" ref="L27:L33" si="7">IF($D27="","",$D27*$E27)</f>
        <v/>
      </c>
      <c r="M27" s="30" t="str">
        <f t="shared" ref="M27:M33" si="8">IF($D27="","",$D27/$D$6)</f>
        <v/>
      </c>
      <c r="N27" s="31"/>
      <c r="O27" s="32"/>
      <c r="P27" s="13"/>
      <c r="Q27" s="13"/>
      <c r="R27" s="13"/>
      <c r="S27" s="13"/>
      <c r="T27" s="13"/>
      <c r="U27" s="13"/>
      <c r="V27" s="13"/>
      <c r="W27" s="13"/>
      <c r="X27" s="13"/>
      <c r="Y27" s="13"/>
      <c r="Z27" s="13"/>
    </row>
    <row r="28">
      <c r="A28" s="19"/>
      <c r="B28" s="19"/>
      <c r="C28" s="34"/>
      <c r="D28" s="35"/>
      <c r="E28" s="35"/>
      <c r="F28" s="31"/>
      <c r="G28" s="19"/>
      <c r="H28" s="37"/>
      <c r="I28" s="35"/>
      <c r="J28" s="29" t="str">
        <f t="shared" si="5"/>
        <v/>
      </c>
      <c r="K28" s="29" t="str">
        <f t="shared" si="6"/>
        <v/>
      </c>
      <c r="L28" s="29" t="str">
        <f t="shared" si="7"/>
        <v/>
      </c>
      <c r="M28" s="30" t="str">
        <f t="shared" si="8"/>
        <v/>
      </c>
      <c r="N28" s="31"/>
      <c r="O28" s="32"/>
      <c r="P28" s="13"/>
      <c r="Q28" s="13"/>
      <c r="R28" s="13"/>
      <c r="S28" s="13"/>
      <c r="T28" s="13"/>
      <c r="U28" s="13"/>
      <c r="V28" s="13"/>
      <c r="W28" s="13"/>
      <c r="X28" s="13"/>
      <c r="Y28" s="13"/>
      <c r="Z28" s="13"/>
    </row>
    <row r="29" ht="15.75" customHeight="1">
      <c r="A29" s="19"/>
      <c r="B29" s="19"/>
      <c r="C29" s="34"/>
      <c r="D29" s="35"/>
      <c r="E29" s="35"/>
      <c r="F29" s="31"/>
      <c r="G29" s="19"/>
      <c r="H29" s="37"/>
      <c r="I29" s="35"/>
      <c r="J29" s="29" t="str">
        <f t="shared" si="5"/>
        <v/>
      </c>
      <c r="K29" s="29" t="str">
        <f t="shared" si="6"/>
        <v/>
      </c>
      <c r="L29" s="29" t="str">
        <f t="shared" si="7"/>
        <v/>
      </c>
      <c r="M29" s="30" t="str">
        <f t="shared" si="8"/>
        <v/>
      </c>
      <c r="N29" s="31"/>
      <c r="O29" s="32"/>
      <c r="P29" s="13"/>
      <c r="Q29" s="13"/>
      <c r="R29" s="13"/>
      <c r="S29" s="13"/>
      <c r="T29" s="13"/>
      <c r="U29" s="13"/>
      <c r="V29" s="13"/>
      <c r="W29" s="13"/>
      <c r="X29" s="13"/>
      <c r="Y29" s="13"/>
      <c r="Z29" s="13"/>
    </row>
    <row r="30" ht="15.75" customHeight="1">
      <c r="A30" s="19"/>
      <c r="B30" s="19"/>
      <c r="C30" s="34"/>
      <c r="D30" s="35"/>
      <c r="E30" s="35"/>
      <c r="F30" s="31"/>
      <c r="G30" s="19"/>
      <c r="H30" s="37"/>
      <c r="I30" s="35"/>
      <c r="J30" s="29" t="str">
        <f t="shared" si="5"/>
        <v/>
      </c>
      <c r="K30" s="29" t="str">
        <f t="shared" si="6"/>
        <v/>
      </c>
      <c r="L30" s="29" t="str">
        <f t="shared" si="7"/>
        <v/>
      </c>
      <c r="M30" s="30" t="str">
        <f t="shared" si="8"/>
        <v/>
      </c>
      <c r="N30" s="31"/>
      <c r="O30" s="32"/>
      <c r="P30" s="13"/>
      <c r="Q30" s="13"/>
      <c r="R30" s="13"/>
      <c r="S30" s="13"/>
      <c r="T30" s="13"/>
      <c r="U30" s="13"/>
      <c r="V30" s="13"/>
      <c r="W30" s="13"/>
      <c r="X30" s="13"/>
      <c r="Y30" s="13"/>
      <c r="Z30" s="13"/>
    </row>
    <row r="31" ht="15.75" customHeight="1">
      <c r="A31" s="19"/>
      <c r="B31" s="19"/>
      <c r="C31" s="34"/>
      <c r="D31" s="35"/>
      <c r="E31" s="35"/>
      <c r="F31" s="31"/>
      <c r="G31" s="19"/>
      <c r="H31" s="37"/>
      <c r="I31" s="35"/>
      <c r="J31" s="29" t="str">
        <f t="shared" si="5"/>
        <v/>
      </c>
      <c r="K31" s="29" t="str">
        <f t="shared" si="6"/>
        <v/>
      </c>
      <c r="L31" s="29" t="str">
        <f t="shared" si="7"/>
        <v/>
      </c>
      <c r="M31" s="30" t="str">
        <f t="shared" si="8"/>
        <v/>
      </c>
      <c r="N31" s="31"/>
      <c r="O31" s="32"/>
      <c r="P31" s="13"/>
      <c r="Q31" s="13"/>
      <c r="R31" s="13"/>
      <c r="S31" s="13"/>
      <c r="T31" s="13"/>
      <c r="U31" s="13"/>
      <c r="V31" s="13"/>
      <c r="W31" s="13"/>
      <c r="X31" s="13"/>
      <c r="Y31" s="13"/>
      <c r="Z31" s="13"/>
    </row>
    <row r="32" ht="15.75" customHeight="1">
      <c r="A32" s="19"/>
      <c r="B32" s="19"/>
      <c r="C32" s="34"/>
      <c r="D32" s="35"/>
      <c r="E32" s="35"/>
      <c r="F32" s="31"/>
      <c r="G32" s="19"/>
      <c r="H32" s="37"/>
      <c r="I32" s="35"/>
      <c r="J32" s="29" t="str">
        <f t="shared" si="5"/>
        <v/>
      </c>
      <c r="K32" s="29" t="str">
        <f t="shared" si="6"/>
        <v/>
      </c>
      <c r="L32" s="29" t="str">
        <f t="shared" si="7"/>
        <v/>
      </c>
      <c r="M32" s="30" t="str">
        <f t="shared" si="8"/>
        <v/>
      </c>
      <c r="N32" s="31"/>
      <c r="O32" s="32"/>
      <c r="P32" s="13"/>
      <c r="Q32" s="13"/>
      <c r="R32" s="13"/>
      <c r="S32" s="13"/>
      <c r="T32" s="13"/>
      <c r="U32" s="13"/>
      <c r="V32" s="13"/>
      <c r="W32" s="13"/>
      <c r="X32" s="13"/>
      <c r="Y32" s="13"/>
      <c r="Z32" s="13"/>
    </row>
    <row r="33" ht="15.75" customHeight="1">
      <c r="A33" s="19"/>
      <c r="B33" s="19"/>
      <c r="C33" s="34"/>
      <c r="D33" s="35"/>
      <c r="E33" s="35"/>
      <c r="F33" s="31"/>
      <c r="G33" s="19"/>
      <c r="H33" s="37"/>
      <c r="I33" s="35"/>
      <c r="J33" s="29" t="str">
        <f t="shared" si="5"/>
        <v/>
      </c>
      <c r="K33" s="29" t="str">
        <f t="shared" si="6"/>
        <v/>
      </c>
      <c r="L33" s="29" t="str">
        <f t="shared" si="7"/>
        <v/>
      </c>
      <c r="M33" s="30" t="str">
        <f t="shared" si="8"/>
        <v/>
      </c>
      <c r="N33" s="31"/>
      <c r="O33" s="32"/>
      <c r="P33" s="13"/>
      <c r="Q33" s="13"/>
      <c r="R33" s="13"/>
      <c r="S33" s="13"/>
      <c r="T33" s="13"/>
      <c r="U33" s="13"/>
      <c r="V33" s="13"/>
      <c r="W33" s="13"/>
      <c r="X33" s="13"/>
      <c r="Y33" s="13"/>
      <c r="Z33" s="13"/>
    </row>
    <row r="34" ht="14.25" customHeight="1">
      <c r="A34" s="38" t="s">
        <v>76</v>
      </c>
      <c r="B34" s="39"/>
      <c r="C34" s="39"/>
      <c r="D34" s="24">
        <f>SUM(D13:D33)</f>
        <v>15950</v>
      </c>
      <c r="E34" s="39"/>
      <c r="F34" s="39"/>
      <c r="G34" s="39"/>
      <c r="H34" s="39"/>
      <c r="I34" s="39"/>
      <c r="J34" s="39"/>
      <c r="K34" s="24">
        <f t="shared" ref="K34:L34" si="9">SUM(K13:K33)</f>
        <v>822600</v>
      </c>
      <c r="L34" s="24">
        <f t="shared" si="9"/>
        <v>575900</v>
      </c>
      <c r="M34" s="40">
        <f>IF($D$6="","",SUM(M13:M33))</f>
        <v>1</v>
      </c>
      <c r="N34" s="24">
        <f>SUM(N13:N33)</f>
        <v>0</v>
      </c>
      <c r="O34" s="32"/>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0" customHeight="1">
      <c r="A36" s="41" t="s">
        <v>77</v>
      </c>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mergeCells count="19">
    <mergeCell ref="E5:O5"/>
    <mergeCell ref="E6:O6"/>
    <mergeCell ref="A1:O1"/>
    <mergeCell ref="A2:O2"/>
    <mergeCell ref="A3:O3"/>
    <mergeCell ref="A4:C4"/>
    <mergeCell ref="E4:O4"/>
    <mergeCell ref="A5:C5"/>
    <mergeCell ref="A6:C6"/>
    <mergeCell ref="E10:O10"/>
    <mergeCell ref="A11:O11"/>
    <mergeCell ref="A36:O36"/>
    <mergeCell ref="A7:C7"/>
    <mergeCell ref="E7:O7"/>
    <mergeCell ref="A8:C8"/>
    <mergeCell ref="E8:O8"/>
    <mergeCell ref="A9:C9"/>
    <mergeCell ref="E9:O9"/>
    <mergeCell ref="A10:C10"/>
  </mergeCells>
  <dataValidations>
    <dataValidation type="list" allowBlank="1" showInputMessage="1" showErrorMessage="1" prompt="受取方法 - 発送限定 / 選択制 / pt限定 のどれかを選んでください" sqref="G13:G33">
      <formula1>"発送限定,選択制,pt限定"</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5.0"/>
    <col customWidth="1" min="3" max="3" width="36.0"/>
    <col customWidth="1" min="4" max="4" width="54.0"/>
    <col customWidth="1" min="5" max="26" width="8.71"/>
  </cols>
  <sheetData>
    <row r="1" ht="21.75" customHeight="1">
      <c r="A1" s="42" t="s">
        <v>78</v>
      </c>
      <c r="B1" s="11"/>
      <c r="C1" s="11"/>
      <c r="D1" s="12"/>
      <c r="E1" s="13"/>
      <c r="F1" s="13"/>
      <c r="G1" s="13"/>
      <c r="H1" s="13"/>
      <c r="I1" s="13"/>
      <c r="J1" s="13"/>
      <c r="K1" s="13"/>
      <c r="L1" s="13"/>
      <c r="M1" s="13"/>
      <c r="N1" s="13"/>
      <c r="O1" s="13"/>
      <c r="P1" s="13"/>
      <c r="Q1" s="13"/>
      <c r="R1" s="13"/>
      <c r="S1" s="13"/>
      <c r="T1" s="13"/>
      <c r="U1" s="13"/>
      <c r="V1" s="13"/>
      <c r="W1" s="13"/>
      <c r="X1" s="13"/>
      <c r="Y1" s="13"/>
      <c r="Z1" s="13"/>
    </row>
    <row r="2" ht="15.0" customHeight="1">
      <c r="A2" s="41" t="s">
        <v>79</v>
      </c>
      <c r="E2" s="13"/>
      <c r="F2" s="13"/>
      <c r="G2" s="13"/>
      <c r="H2" s="13"/>
      <c r="I2" s="13"/>
      <c r="J2" s="13"/>
      <c r="K2" s="13"/>
      <c r="L2" s="13"/>
      <c r="M2" s="13"/>
      <c r="N2" s="13"/>
      <c r="O2" s="13"/>
      <c r="P2" s="13"/>
      <c r="Q2" s="13"/>
      <c r="R2" s="13"/>
      <c r="S2" s="13"/>
      <c r="T2" s="13"/>
      <c r="U2" s="13"/>
      <c r="V2" s="13"/>
      <c r="W2" s="13"/>
      <c r="X2" s="13"/>
      <c r="Y2" s="13"/>
      <c r="Z2" s="13"/>
    </row>
    <row r="3">
      <c r="A3" s="25" t="s">
        <v>80</v>
      </c>
      <c r="B3" s="25" t="s">
        <v>81</v>
      </c>
      <c r="C3" s="25" t="s">
        <v>82</v>
      </c>
      <c r="D3" s="25" t="s">
        <v>83</v>
      </c>
      <c r="E3" s="13"/>
      <c r="F3" s="13"/>
      <c r="G3" s="13"/>
      <c r="H3" s="13"/>
      <c r="I3" s="13"/>
      <c r="J3" s="13"/>
      <c r="K3" s="13"/>
      <c r="L3" s="13"/>
      <c r="M3" s="13"/>
      <c r="N3" s="13"/>
      <c r="O3" s="13"/>
      <c r="P3" s="13"/>
      <c r="Q3" s="13"/>
      <c r="R3" s="13"/>
      <c r="S3" s="13"/>
      <c r="T3" s="13"/>
      <c r="U3" s="13"/>
      <c r="V3" s="13"/>
      <c r="W3" s="13"/>
      <c r="X3" s="13"/>
      <c r="Y3" s="13"/>
      <c r="Z3" s="13"/>
    </row>
    <row r="4">
      <c r="A4" s="15" t="s">
        <v>84</v>
      </c>
      <c r="B4" s="11"/>
      <c r="C4" s="11"/>
      <c r="D4" s="12"/>
      <c r="E4" s="13"/>
      <c r="F4" s="13"/>
      <c r="G4" s="13"/>
      <c r="H4" s="13"/>
      <c r="I4" s="13"/>
      <c r="J4" s="13"/>
      <c r="K4" s="13"/>
      <c r="L4" s="13"/>
      <c r="M4" s="13"/>
      <c r="N4" s="13"/>
      <c r="O4" s="13"/>
      <c r="P4" s="13"/>
      <c r="Q4" s="13"/>
      <c r="R4" s="13"/>
      <c r="S4" s="13"/>
      <c r="T4" s="13"/>
      <c r="U4" s="13"/>
      <c r="V4" s="13"/>
      <c r="W4" s="13"/>
      <c r="X4" s="13"/>
      <c r="Y4" s="13"/>
      <c r="Z4" s="13"/>
    </row>
    <row r="5">
      <c r="A5" s="43" t="s">
        <v>85</v>
      </c>
      <c r="B5" s="29">
        <f>'設計入力'!D10</f>
        <v>845350</v>
      </c>
      <c r="C5" s="44"/>
      <c r="D5" s="32" t="s">
        <v>86</v>
      </c>
      <c r="E5" s="13"/>
      <c r="F5" s="13"/>
      <c r="G5" s="13"/>
      <c r="H5" s="13"/>
      <c r="I5" s="13"/>
      <c r="J5" s="13"/>
      <c r="K5" s="13"/>
      <c r="L5" s="13"/>
      <c r="M5" s="13"/>
      <c r="N5" s="13"/>
      <c r="O5" s="13"/>
      <c r="P5" s="13"/>
      <c r="Q5" s="13"/>
      <c r="R5" s="13"/>
      <c r="S5" s="13"/>
      <c r="T5" s="13"/>
      <c r="U5" s="13"/>
      <c r="V5" s="13"/>
      <c r="W5" s="13"/>
      <c r="X5" s="13"/>
      <c r="Y5" s="13"/>
      <c r="Z5" s="13"/>
    </row>
    <row r="6">
      <c r="A6" s="45" t="s">
        <v>87</v>
      </c>
      <c r="B6" s="29">
        <f>'設計入力'!D34</f>
        <v>15950</v>
      </c>
      <c r="C6" s="44" t="str">
        <f>IF('設計入力'!D6="","未入力（総口数を入力）",IF(B6='設計入力'!D6,"OK 総口数と一致","NG 差 "&amp;TEXT('設計入力'!D6-B6,"#,##0")&amp;" 口"))</f>
        <v>OK 総口数と一致</v>
      </c>
      <c r="D6" s="46" t="s">
        <v>88</v>
      </c>
      <c r="E6" s="13"/>
      <c r="F6" s="13"/>
      <c r="G6" s="13"/>
      <c r="H6" s="13"/>
      <c r="I6" s="13"/>
      <c r="J6" s="13"/>
      <c r="K6" s="13"/>
      <c r="L6" s="13"/>
      <c r="M6" s="13"/>
      <c r="N6" s="13"/>
      <c r="O6" s="13"/>
      <c r="P6" s="13"/>
      <c r="Q6" s="13"/>
      <c r="R6" s="13"/>
      <c r="S6" s="13"/>
      <c r="T6" s="13"/>
      <c r="U6" s="13"/>
      <c r="V6" s="13"/>
      <c r="W6" s="13"/>
      <c r="X6" s="13"/>
      <c r="Y6" s="13"/>
      <c r="Z6" s="13"/>
    </row>
    <row r="7">
      <c r="A7" s="45" t="s">
        <v>89</v>
      </c>
      <c r="B7" s="29">
        <f>'設計入力'!K34</f>
        <v>822600</v>
      </c>
      <c r="C7" s="44"/>
      <c r="D7" s="32" t="s">
        <v>90</v>
      </c>
      <c r="E7" s="13"/>
      <c r="F7" s="13"/>
      <c r="G7" s="13"/>
      <c r="H7" s="13"/>
      <c r="I7" s="13"/>
      <c r="J7" s="13"/>
      <c r="K7" s="13"/>
      <c r="L7" s="13"/>
      <c r="M7" s="13"/>
      <c r="N7" s="13"/>
      <c r="O7" s="13"/>
      <c r="P7" s="13"/>
      <c r="Q7" s="13"/>
      <c r="R7" s="13"/>
      <c r="S7" s="13"/>
      <c r="T7" s="13"/>
      <c r="U7" s="13"/>
      <c r="V7" s="13"/>
      <c r="W7" s="13"/>
      <c r="X7" s="13"/>
      <c r="Y7" s="13"/>
      <c r="Z7" s="13"/>
    </row>
    <row r="8">
      <c r="A8" s="45" t="s">
        <v>91</v>
      </c>
      <c r="B8" s="30">
        <f>IF(OR(B5="",B7=0),"",B7/B5)</f>
        <v>0.97308807</v>
      </c>
      <c r="C8" s="44"/>
      <c r="D8" s="32" t="s">
        <v>92</v>
      </c>
      <c r="E8" s="13"/>
      <c r="F8" s="13"/>
      <c r="G8" s="13"/>
      <c r="H8" s="13"/>
      <c r="I8" s="13"/>
      <c r="J8" s="13"/>
      <c r="K8" s="13"/>
      <c r="L8" s="13"/>
      <c r="M8" s="13"/>
      <c r="N8" s="13"/>
      <c r="O8" s="13"/>
      <c r="P8" s="13"/>
      <c r="Q8" s="13"/>
      <c r="R8" s="13"/>
      <c r="S8" s="13"/>
      <c r="T8" s="13"/>
      <c r="U8" s="13"/>
      <c r="V8" s="13"/>
      <c r="W8" s="13"/>
      <c r="X8" s="13"/>
      <c r="Y8" s="13"/>
      <c r="Z8" s="13"/>
    </row>
    <row r="9">
      <c r="A9" s="45" t="s">
        <v>93</v>
      </c>
      <c r="B9" s="29">
        <f>SUMIF('設計入力'!G13:G33,"発送限定",'設計入力'!K13:K33)</f>
        <v>0</v>
      </c>
      <c r="C9" s="44"/>
      <c r="D9" s="46" t="s">
        <v>94</v>
      </c>
      <c r="E9" s="13"/>
      <c r="F9" s="13"/>
      <c r="G9" s="13"/>
      <c r="H9" s="13"/>
      <c r="I9" s="13"/>
      <c r="J9" s="13"/>
      <c r="K9" s="13"/>
      <c r="L9" s="13"/>
      <c r="M9" s="13"/>
      <c r="N9" s="13"/>
      <c r="O9" s="13"/>
      <c r="P9" s="13"/>
      <c r="Q9" s="13"/>
      <c r="R9" s="13"/>
      <c r="S9" s="13"/>
      <c r="T9" s="13"/>
      <c r="U9" s="13"/>
      <c r="V9" s="13"/>
      <c r="W9" s="13"/>
      <c r="X9" s="13"/>
      <c r="Y9" s="13"/>
      <c r="Z9" s="13"/>
    </row>
    <row r="10">
      <c r="A10" s="44" t="s">
        <v>95</v>
      </c>
      <c r="B10" s="29">
        <f>B7-B9</f>
        <v>822600</v>
      </c>
      <c r="C10" s="44"/>
      <c r="D10" s="46" t="s">
        <v>96</v>
      </c>
      <c r="E10" s="13"/>
      <c r="F10" s="13"/>
      <c r="G10" s="13"/>
      <c r="H10" s="13"/>
      <c r="I10" s="13"/>
      <c r="J10" s="13"/>
      <c r="K10" s="13"/>
      <c r="L10" s="13"/>
      <c r="M10" s="13"/>
      <c r="N10" s="13"/>
      <c r="O10" s="13"/>
      <c r="P10" s="13"/>
      <c r="Q10" s="13"/>
      <c r="R10" s="13"/>
      <c r="S10" s="13"/>
      <c r="T10" s="13"/>
      <c r="U10" s="13"/>
      <c r="V10" s="13"/>
      <c r="W10" s="13"/>
      <c r="X10" s="13"/>
      <c r="Y10" s="13"/>
      <c r="Z10" s="13"/>
    </row>
    <row r="11">
      <c r="A11" s="44" t="s">
        <v>97</v>
      </c>
      <c r="B11" s="30">
        <f>IF(OR(B5="",B7=0),"",B10/B5)</f>
        <v>0.97308807</v>
      </c>
      <c r="C11" s="44"/>
      <c r="D11" s="46" t="s">
        <v>98</v>
      </c>
      <c r="E11" s="13"/>
      <c r="F11" s="13"/>
      <c r="G11" s="13"/>
      <c r="H11" s="13"/>
      <c r="I11" s="13"/>
      <c r="J11" s="13"/>
      <c r="K11" s="13"/>
      <c r="L11" s="13"/>
      <c r="M11" s="13"/>
      <c r="N11" s="13"/>
      <c r="O11" s="13"/>
      <c r="P11" s="13"/>
      <c r="Q11" s="13"/>
      <c r="R11" s="13"/>
      <c r="S11" s="13"/>
      <c r="T11" s="13"/>
      <c r="U11" s="13"/>
      <c r="V11" s="13"/>
      <c r="W11" s="13"/>
      <c r="X11" s="13"/>
      <c r="Y11" s="13"/>
      <c r="Z11" s="13"/>
    </row>
    <row r="12">
      <c r="A12" s="45" t="s">
        <v>99</v>
      </c>
      <c r="B12" s="47">
        <v>0.02</v>
      </c>
      <c r="C12" s="44"/>
      <c r="D12" s="32" t="s">
        <v>100</v>
      </c>
      <c r="E12" s="13"/>
      <c r="F12" s="13"/>
      <c r="G12" s="13"/>
      <c r="H12" s="13"/>
      <c r="I12" s="13"/>
      <c r="J12" s="13"/>
      <c r="K12" s="13"/>
      <c r="L12" s="13"/>
      <c r="M12" s="13"/>
      <c r="N12" s="13"/>
      <c r="O12" s="13"/>
      <c r="P12" s="13"/>
      <c r="Q12" s="13"/>
      <c r="R12" s="13"/>
      <c r="S12" s="13"/>
      <c r="T12" s="13"/>
      <c r="U12" s="13"/>
      <c r="V12" s="13"/>
      <c r="W12" s="13"/>
      <c r="X12" s="13"/>
      <c r="Y12" s="13"/>
      <c r="Z12" s="13"/>
    </row>
    <row r="13">
      <c r="A13" s="43" t="s">
        <v>101</v>
      </c>
      <c r="B13" s="30">
        <f>IF(OR(B11="",B12=""),"",B11+B12)</f>
        <v>0.99308807</v>
      </c>
      <c r="C13" s="44" t="str">
        <f>IF(B13="","未入力",IF(B13&gt;=1,"NG 公開不可：実効EV≧100%（ポイント再投入で増殖）",IF(B13&gt;=B14,"注意 実効EVが安全上限以上（マージン不足）","OK 安全上限未満")))</f>
        <v>注意 実効EVが安全上限以上（マージン不足）</v>
      </c>
      <c r="D13" s="32" t="s">
        <v>102</v>
      </c>
      <c r="E13" s="13"/>
      <c r="F13" s="13"/>
      <c r="G13" s="13"/>
      <c r="H13" s="13"/>
      <c r="I13" s="13"/>
      <c r="J13" s="13"/>
      <c r="K13" s="13"/>
      <c r="L13" s="13"/>
      <c r="M13" s="13"/>
      <c r="N13" s="13"/>
      <c r="O13" s="13"/>
      <c r="P13" s="13"/>
      <c r="Q13" s="13"/>
      <c r="R13" s="13"/>
      <c r="S13" s="13"/>
      <c r="T13" s="13"/>
      <c r="U13" s="13"/>
      <c r="V13" s="13"/>
      <c r="W13" s="13"/>
      <c r="X13" s="13"/>
      <c r="Y13" s="13"/>
      <c r="Z13" s="13"/>
    </row>
    <row r="14">
      <c r="A14" s="45" t="s">
        <v>103</v>
      </c>
      <c r="B14" s="47">
        <v>0.95</v>
      </c>
      <c r="C14" s="44"/>
      <c r="D14" s="32" t="s">
        <v>104</v>
      </c>
      <c r="E14" s="13"/>
      <c r="F14" s="13"/>
      <c r="G14" s="13"/>
      <c r="H14" s="13"/>
      <c r="I14" s="13"/>
      <c r="J14" s="13"/>
      <c r="K14" s="13"/>
      <c r="L14" s="13"/>
      <c r="M14" s="13"/>
      <c r="N14" s="13"/>
      <c r="O14" s="13"/>
      <c r="P14" s="13"/>
      <c r="Q14" s="13"/>
      <c r="R14" s="13"/>
      <c r="S14" s="13"/>
      <c r="T14" s="13"/>
      <c r="U14" s="13"/>
      <c r="V14" s="13"/>
      <c r="W14" s="13"/>
      <c r="X14" s="13"/>
      <c r="Y14" s="13"/>
      <c r="Z14" s="13"/>
    </row>
    <row r="15">
      <c r="A15" s="45" t="s">
        <v>105</v>
      </c>
      <c r="B15" s="30">
        <f>IF(OR(B5="",B7=0),"",B9/B5)</f>
        <v>0</v>
      </c>
      <c r="C15" s="44"/>
      <c r="D15" s="32" t="s">
        <v>106</v>
      </c>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5" t="s">
        <v>107</v>
      </c>
      <c r="B17" s="11"/>
      <c r="C17" s="11"/>
      <c r="D17" s="12"/>
      <c r="E17" s="13"/>
      <c r="F17" s="13"/>
      <c r="G17" s="13"/>
      <c r="H17" s="13"/>
      <c r="I17" s="13"/>
      <c r="J17" s="13"/>
      <c r="K17" s="13"/>
      <c r="L17" s="13"/>
      <c r="M17" s="13"/>
      <c r="N17" s="13"/>
      <c r="O17" s="13"/>
      <c r="P17" s="13"/>
      <c r="Q17" s="13"/>
      <c r="R17" s="13"/>
      <c r="S17" s="13"/>
      <c r="T17" s="13"/>
      <c r="U17" s="13"/>
      <c r="V17" s="13"/>
      <c r="W17" s="13"/>
      <c r="X17" s="13"/>
      <c r="Y17" s="13"/>
      <c r="Z17" s="13"/>
    </row>
    <row r="18">
      <c r="A18" s="45" t="s">
        <v>108</v>
      </c>
      <c r="B18" s="48"/>
      <c r="C18" s="44" t="str">
        <f>IF(OR('設計入力'!D5="",'設計入力'!D6="",'設計入力'!D9=""),"未入力（単価・総口数・原価率）",IF(AND('設計入力'!D9&gt;0,'設計入力'!D9&lt;=1),"OK 入力済み","NG 原価率は0〜1の範囲で入力（例：0.72）"))</f>
        <v>未入力（単価・総口数・原価率）</v>
      </c>
      <c r="D18" s="32" t="s">
        <v>109</v>
      </c>
      <c r="E18" s="13"/>
      <c r="F18" s="13"/>
      <c r="G18" s="13"/>
      <c r="H18" s="13"/>
      <c r="I18" s="13"/>
      <c r="J18" s="13"/>
      <c r="K18" s="13"/>
      <c r="L18" s="13"/>
      <c r="M18" s="13"/>
      <c r="N18" s="13"/>
      <c r="O18" s="13"/>
      <c r="P18" s="13"/>
      <c r="Q18" s="13"/>
      <c r="R18" s="13"/>
      <c r="S18" s="13"/>
      <c r="T18" s="13"/>
      <c r="U18" s="13"/>
      <c r="V18" s="13"/>
      <c r="W18" s="13"/>
      <c r="X18" s="13"/>
      <c r="Y18" s="13"/>
      <c r="Z18" s="13"/>
    </row>
    <row r="19">
      <c r="A19" s="45" t="s">
        <v>110</v>
      </c>
      <c r="B19" s="49">
        <f>SUMPRODUCT(('設計入力'!D13:D33&lt;&gt;"")*('設計入力'!G13:G33=""))</f>
        <v>0</v>
      </c>
      <c r="C19" s="44" t="str">
        <f>IF(B19=0,"OK なし","NG "&amp;B19&amp;" 行：受取方法（発送限定/選択制/pt限定）を選択")</f>
        <v>OK なし</v>
      </c>
      <c r="D19" s="32" t="s">
        <v>111</v>
      </c>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45" t="s">
        <v>112</v>
      </c>
      <c r="B20" s="49">
        <f>SUMPRODUCT(('設計入力'!D13:D33&lt;&gt;"")*('設計入力'!J13:J33=""))</f>
        <v>0</v>
      </c>
      <c r="C20" s="44" t="str">
        <f>IF(B20=0,"OK なし","NG "&amp;B20&amp;" 行：上乗せ倍率か表示PT直接指定のどちらかを入力")</f>
        <v>OK なし</v>
      </c>
      <c r="D20" s="32" t="s">
        <v>113</v>
      </c>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45" t="s">
        <v>114</v>
      </c>
      <c r="B21" s="49">
        <f>SUMPRODUCT(('設計入力'!D13:D33&lt;&gt;"")*('設計入力'!G13:G33&lt;&gt;"pt限定")*((('設計入力'!E13:E33="")+('設計入力'!F13:F33=""))&gt;0))</f>
        <v>0</v>
      </c>
      <c r="C21" s="44" t="str">
        <f>IF(B21=0,"OK なし","NG "&amp;B21&amp;" 行：実価値と送料を入力（0円なら0と入れる）")</f>
        <v>OK なし</v>
      </c>
      <c r="D21" s="32" t="s">
        <v>115</v>
      </c>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45" t="s">
        <v>116</v>
      </c>
      <c r="B22" s="49">
        <f>SUMPRODUCT(('設計入力'!D13:D33&lt;&gt;"")*('設計入力'!N13:N33&lt;&gt;"")*('設計入力'!N13:N33&lt;'設計入力'!D13:D33))</f>
        <v>0</v>
      </c>
      <c r="C22" s="44" t="str">
        <f>IF(SUMPRODUCT(('設計入力'!D13:D33&lt;&gt;"")*('設計入力'!N13:N33&lt;&gt;""))=0,"—（在庫列 未使用）",IF(B22=0,"OK 不足なし（"&amp;SUMPRODUCT(('設計入力'!D13:D33&lt;&gt;"")*('設計入力'!N13:N33&lt;&gt;""))&amp;"行を確認）","NG "&amp;B22&amp;" 行：在庫＜口数（オーバーセル）"))</f>
        <v>—（在庫列 未使用）</v>
      </c>
      <c r="D22" s="32" t="s">
        <v>117</v>
      </c>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5" t="s">
        <v>118</v>
      </c>
      <c r="B24" s="11"/>
      <c r="C24" s="11"/>
      <c r="D24" s="12"/>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45" t="s">
        <v>119</v>
      </c>
      <c r="B25" s="29">
        <f>SUMIF('設計入力'!G13:G33,"&lt;&gt;pt限定",'設計入力'!L13:L33)+SUMPRODUCT(('設計入力'!G13:G33&lt;&gt;"pt限定")*('設計入力'!D13:D33)*('設計入力'!F13:F33))</f>
        <v>585000</v>
      </c>
      <c r="C25" s="44"/>
      <c r="D25" s="32" t="s">
        <v>120</v>
      </c>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45" t="s">
        <v>121</v>
      </c>
      <c r="B26" s="29">
        <f>SUMIF('設計入力'!G13:G33,"発送限定",'設計入力'!L13:L33)+SUMPRODUCT(('設計入力'!G13:G33="発送限定")*('設計入力'!D13:D33)*('設計入力'!F13:F33))</f>
        <v>0</v>
      </c>
      <c r="C26" s="44"/>
      <c r="D26" s="32" t="s">
        <v>122</v>
      </c>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44" t="s">
        <v>123</v>
      </c>
      <c r="B27" s="29">
        <f>SUMIF('設計入力'!G13:G33,"pt限定",'設計入力'!K13:K33)</f>
        <v>21800</v>
      </c>
      <c r="C27" s="44"/>
      <c r="D27" s="32" t="s">
        <v>124</v>
      </c>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45" t="s">
        <v>125</v>
      </c>
      <c r="B28" s="29">
        <f>SUMIF('設計入力'!G13:G33,"選択制",'設計入力'!K13:K33)</f>
        <v>800800</v>
      </c>
      <c r="C28" s="44"/>
      <c r="D28" s="32" t="s">
        <v>126</v>
      </c>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45" t="s">
        <v>127</v>
      </c>
      <c r="B29" s="29">
        <f>B25-B26</f>
        <v>585000</v>
      </c>
      <c r="C29" s="44"/>
      <c r="D29" s="32" t="s">
        <v>128</v>
      </c>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50" t="s">
        <v>129</v>
      </c>
      <c r="B30" s="51" t="str">
        <f>IF(OR(B5="",'設計入力'!D9=""),"",B5-B25-B27*'設計入力'!D9)</f>
        <v/>
      </c>
      <c r="C30" s="44"/>
      <c r="D30" s="32" t="s">
        <v>130</v>
      </c>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50" t="s">
        <v>131</v>
      </c>
      <c r="B31" s="51">
        <f>IF(B5="","",B5-B26-B27-B28)</f>
        <v>22750</v>
      </c>
      <c r="C31" s="44"/>
      <c r="D31" s="32" t="s">
        <v>132</v>
      </c>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50" t="s">
        <v>133</v>
      </c>
      <c r="B32" s="51" t="str">
        <f>IF(OR(B5="",'設計入力'!D9=""),"",B5-B26-(B27+B28)*'設計入力'!D9)</f>
        <v/>
      </c>
      <c r="C32" s="44"/>
      <c r="D32" s="32" t="s">
        <v>134</v>
      </c>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45" t="s">
        <v>135</v>
      </c>
      <c r="B33" s="23">
        <v>0.9</v>
      </c>
      <c r="C33" s="44"/>
      <c r="D33" s="32" t="s">
        <v>136</v>
      </c>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50" t="s">
        <v>137</v>
      </c>
      <c r="B34" s="51" t="str">
        <f>IF(OR(B5="",B33="",'設計入力'!D9=""),"",B5-B26-(1-B33)*B29-B33*B28*'設計入力'!D9-B27*'設計入力'!D9)</f>
        <v/>
      </c>
      <c r="C34" s="44"/>
      <c r="D34" s="32" t="s">
        <v>138</v>
      </c>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45" t="s">
        <v>139</v>
      </c>
      <c r="B35" s="51" t="str">
        <f>IF(OR(B30="",B31="",B32=""),"",MIN(B30:B32))</f>
        <v/>
      </c>
      <c r="C35" s="44"/>
      <c r="D35" s="32" t="s">
        <v>140</v>
      </c>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45" t="s">
        <v>141</v>
      </c>
      <c r="B36" s="52">
        <v>-3000000.0</v>
      </c>
      <c r="C36" s="44" t="str">
        <f>IF(OR(B35="",B36=""),"未入力",IF(B35&gt;=B36,"OK 許容範囲内","NG 最大損失が許容ラインを超過（役員承認が必要）"))</f>
        <v>未入力</v>
      </c>
      <c r="D36" s="32" t="s">
        <v>142</v>
      </c>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5" t="s">
        <v>143</v>
      </c>
      <c r="B38" s="11"/>
      <c r="C38" s="11"/>
      <c r="D38" s="12"/>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45" t="s">
        <v>144</v>
      </c>
      <c r="B39" s="29">
        <f>SUMIF('設計入力'!G13:G33,"&lt;&gt;pt限定",'設計入力'!D13:D33)</f>
        <v>50</v>
      </c>
      <c r="C39" s="44"/>
      <c r="D39" s="46" t="s">
        <v>145</v>
      </c>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45" t="s">
        <v>146</v>
      </c>
      <c r="B40" s="29">
        <f>B26+MAX(B29,B28)</f>
        <v>800800</v>
      </c>
      <c r="C40" s="44"/>
      <c r="D40" s="32" t="s">
        <v>147</v>
      </c>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45" t="s">
        <v>148</v>
      </c>
      <c r="B41" s="30">
        <f>IF(OR(B5="",B5=0),"",B40/B5)</f>
        <v>0.9472999349</v>
      </c>
      <c r="C41" s="44"/>
      <c r="D41" s="32" t="s">
        <v>149</v>
      </c>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45" t="s">
        <v>150</v>
      </c>
      <c r="B42" s="53">
        <v>0.3</v>
      </c>
      <c r="C42" s="44"/>
      <c r="D42" s="32" t="s">
        <v>151</v>
      </c>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43" t="s">
        <v>152</v>
      </c>
      <c r="B43" s="51">
        <f>IF(OR(B5="",B42="",'設計入力'!D6=""),"",B42*B5-B40-MAX(0,B42*'設計入力'!D6-B39)*IF(SUMIF('設計入力'!G13:G33,"pt限定",'設計入力'!D13:D33)=0,0,B27/SUMIF('設計入力'!G13:G33,"pt限定",'設計入力'!D13:D33)))</f>
        <v>-553687.0126</v>
      </c>
      <c r="C43" s="44" t="str">
        <f>IF(B43="","未入力",IF(B43&gt;=0,"OK 想定進捗でも赤字なし",IF(OR(B36="",B43&gt;=B36),"注意 想定進捗で最大 "&amp;TEXT(B43,"#,##0")&amp;" 円の赤字（許容内・要認識）","NG 途中終了時の損失が許容ラインを超過")))</f>
        <v>注意 想定進捗で最大 -553,687 円の赤字（許容内・要認識）</v>
      </c>
      <c r="D43" s="32" t="s">
        <v>153</v>
      </c>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5" t="s">
        <v>154</v>
      </c>
      <c r="B45" s="11"/>
      <c r="C45" s="11"/>
      <c r="D45" s="12"/>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45" t="s">
        <v>155</v>
      </c>
      <c r="B46" s="49">
        <f>SUMPRODUCT(--ISNUMBER(SEARCH("なにか",'設計入力'!B13:B33)))+SUMPRODUCT(--ISNUMBER(SEARCH("TBD",'設計入力'!B13:B33)))+SUMPRODUCT(--ISNUMBER(SEARCH("テスト",'設計入力'!B13:B33)))+SUMPRODUCT(--ISNUMBER(SEARCH("仮",'設計入力'!B13:B33)))+SUMPRODUCT(--ISNUMBER(SEARCH("デモ",'設計入力'!B13:B33)))+SUMPRODUCT(--ISNUMBER(SEARCH("サンプル",'設計入力'!B13:B33)))+SUMPRODUCT(--ISNUMBER(SEARCH("ダミー",'設計入力'!B13:B33)))+SUMPRODUCT(--ISNUMBER(SEARCH("test",'設計入力'!B13:B33)))-SUMPRODUCT(--ISNUMBER(SEARCH("仮面",'設計入力'!B13:B33)))</f>
        <v>0</v>
      </c>
      <c r="C46" s="44" t="str">
        <f>IF(B46=0,"OK 仮名称なし","NG 仮名称/デモ名の賞品が "&amp;B46&amp;" 件残っています")</f>
        <v>OK 仮名称なし</v>
      </c>
      <c r="D46" s="32" t="s">
        <v>156</v>
      </c>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44" t="s">
        <v>157</v>
      </c>
      <c r="B47" s="48"/>
      <c r="C47" s="44" t="str">
        <f>IF(OR('設計入力'!D7="",'設計入力'!D8=""),"NG 未設定（必須項目です）","OK 設定済み")</f>
        <v>OK 設定済み</v>
      </c>
      <c r="D47" s="32" t="s">
        <v>158</v>
      </c>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30.0" customHeight="1">
      <c r="A49" s="54" t="s">
        <v>159</v>
      </c>
      <c r="B49" s="55"/>
      <c r="C49" s="56" t="str">
        <f>IF(COUNTIF(C5:C47,"NG*")&gt;0,"NG 公開不可 — 赤い行をすべて解消してください",IF(COUNTIF(C5:C47,"未入*")&gt;0,"未入力あり — 設計入力を完成させてください",IF(COUNTIF(C5:C47,"注意*")&gt;0,"OK 公開可（注意 "&amp;COUNTIF(C5:C47,"注意*")&amp;" 件 — D列を確認のうえ判断）","OK 公開可")))</f>
        <v>未入力あり — 設計入力を完成させてください</v>
      </c>
      <c r="D49" s="46" t="s">
        <v>160</v>
      </c>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mergeCells count="7">
    <mergeCell ref="A1:D1"/>
    <mergeCell ref="A2:D2"/>
    <mergeCell ref="A4:D4"/>
    <mergeCell ref="A17:D17"/>
    <mergeCell ref="A24:D24"/>
    <mergeCell ref="A38:D38"/>
    <mergeCell ref="A45:D45"/>
  </mergeCells>
  <conditionalFormatting sqref="C5:C47">
    <cfRule type="expression" dxfId="0" priority="1">
      <formula>LEFT(C5,2)="NG"</formula>
    </cfRule>
  </conditionalFormatting>
  <conditionalFormatting sqref="C5:C47">
    <cfRule type="expression" dxfId="1" priority="2">
      <formula>LEFT(C5,2)="OK"</formula>
    </cfRule>
  </conditionalFormatting>
  <conditionalFormatting sqref="C5:C47">
    <cfRule type="expression" dxfId="2" priority="3">
      <formula>LEFT(C5,2)="注意"</formula>
    </cfRule>
  </conditionalFormatting>
  <conditionalFormatting sqref="C5:C47">
    <cfRule type="expression" dxfId="3" priority="4">
      <formula>LEFT(C5,2)="未入"</formula>
    </cfRule>
  </conditionalFormatting>
  <conditionalFormatting sqref="C5:C47">
    <cfRule type="expression" dxfId="3" priority="5">
      <formula>LEFT(C5,2)="未完"</formula>
    </cfRule>
  </conditionalFormatting>
  <conditionalFormatting sqref="C5:C47">
    <cfRule type="expression" dxfId="3" priority="6">
      <formula>LEFT(C5,1)="—"</formula>
    </cfRule>
  </conditionalFormatting>
  <conditionalFormatting sqref="C49">
    <cfRule type="expression" dxfId="0" priority="7">
      <formula>LEFT(C49,2)="NG"</formula>
    </cfRule>
  </conditionalFormatting>
  <conditionalFormatting sqref="C49">
    <cfRule type="expression" dxfId="1" priority="8">
      <formula>LEFT(C49,2)="OK"</formula>
    </cfRule>
  </conditionalFormatting>
  <conditionalFormatting sqref="C49">
    <cfRule type="expression" dxfId="2" priority="9">
      <formula>LEFT(C49,2)="注意"</formula>
    </cfRule>
  </conditionalFormatting>
  <conditionalFormatting sqref="C49">
    <cfRule type="expression" dxfId="3" priority="10">
      <formula>LEFT(C49,2)="未入"</formula>
    </cfRule>
  </conditionalFormatting>
  <conditionalFormatting sqref="C49">
    <cfRule type="expression" dxfId="3" priority="11">
      <formula>LEFT(C49,2)="未完"</formula>
    </cfRule>
  </conditionalFormatting>
  <conditionalFormatting sqref="C49">
    <cfRule type="expression" dxfId="3" priority="12">
      <formula>LEFT(C49,1)="—"</formula>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17.0"/>
    <col customWidth="1" min="3" max="3" width="15.0"/>
    <col customWidth="1" min="4" max="4" width="32.0"/>
    <col customWidth="1" min="5" max="5" width="46.0"/>
    <col customWidth="1" min="6" max="26" width="8.71"/>
  </cols>
  <sheetData>
    <row r="1" ht="21.75" customHeight="1">
      <c r="A1" s="42" t="s">
        <v>161</v>
      </c>
      <c r="B1" s="11"/>
      <c r="C1" s="11"/>
      <c r="D1" s="11"/>
      <c r="E1" s="12"/>
      <c r="F1" s="57"/>
      <c r="G1" s="57"/>
      <c r="H1" s="57"/>
      <c r="I1" s="57"/>
      <c r="J1" s="57"/>
      <c r="K1" s="57"/>
      <c r="L1" s="57"/>
      <c r="M1" s="57"/>
      <c r="N1" s="57"/>
      <c r="O1" s="57"/>
      <c r="P1" s="57"/>
      <c r="Q1" s="57"/>
      <c r="R1" s="57"/>
      <c r="S1" s="57"/>
      <c r="T1" s="57"/>
      <c r="U1" s="57"/>
      <c r="V1" s="57"/>
      <c r="W1" s="57"/>
      <c r="X1" s="57"/>
      <c r="Y1" s="57"/>
      <c r="Z1" s="57"/>
    </row>
    <row r="2" ht="15.0" customHeight="1">
      <c r="A2" s="58" t="s">
        <v>162</v>
      </c>
      <c r="F2" s="57"/>
      <c r="G2" s="57"/>
      <c r="H2" s="57"/>
      <c r="I2" s="57"/>
      <c r="J2" s="57"/>
      <c r="K2" s="57"/>
      <c r="L2" s="57"/>
      <c r="M2" s="57"/>
      <c r="N2" s="57"/>
      <c r="O2" s="57"/>
      <c r="P2" s="57"/>
      <c r="Q2" s="57"/>
      <c r="R2" s="57"/>
      <c r="S2" s="57"/>
      <c r="T2" s="57"/>
      <c r="U2" s="57"/>
      <c r="V2" s="57"/>
      <c r="W2" s="57"/>
      <c r="X2" s="57"/>
      <c r="Y2" s="57"/>
      <c r="Z2" s="57"/>
    </row>
    <row r="3">
      <c r="A3" s="25" t="s">
        <v>80</v>
      </c>
      <c r="B3" s="25" t="s">
        <v>163</v>
      </c>
      <c r="C3" s="25" t="s">
        <v>164</v>
      </c>
      <c r="D3" s="25" t="s">
        <v>82</v>
      </c>
      <c r="E3" s="25" t="s">
        <v>165</v>
      </c>
      <c r="F3" s="57"/>
      <c r="G3" s="57"/>
      <c r="H3" s="57"/>
      <c r="I3" s="57"/>
      <c r="J3" s="57"/>
      <c r="K3" s="57"/>
      <c r="L3" s="57"/>
      <c r="M3" s="57"/>
      <c r="N3" s="57"/>
      <c r="O3" s="57"/>
      <c r="P3" s="57"/>
      <c r="Q3" s="57"/>
      <c r="R3" s="57"/>
      <c r="S3" s="57"/>
      <c r="T3" s="57"/>
      <c r="U3" s="57"/>
      <c r="V3" s="57"/>
      <c r="W3" s="57"/>
      <c r="X3" s="57"/>
      <c r="Y3" s="57"/>
      <c r="Z3" s="57"/>
    </row>
    <row r="4">
      <c r="A4" s="43" t="s">
        <v>166</v>
      </c>
      <c r="B4" s="59"/>
      <c r="C4" s="60">
        <f>'自動判定'!B8</f>
        <v>0.97308807</v>
      </c>
      <c r="D4" s="44" t="str">
        <f>IF(OR(B4="",C4=""),"未入力（バナー値を入力）",IF(C4&gt;=B4-0.0049,"OK 表記以上","NG 実装が表記を下回る（優良誤認のおそれ）"))</f>
        <v>未入力（バナー値を入力）</v>
      </c>
      <c r="E4" s="61" t="s">
        <v>167</v>
      </c>
      <c r="F4" s="57"/>
      <c r="G4" s="57"/>
      <c r="H4" s="57"/>
      <c r="I4" s="57"/>
      <c r="J4" s="57"/>
      <c r="K4" s="57"/>
      <c r="L4" s="57"/>
      <c r="M4" s="57"/>
      <c r="N4" s="57"/>
      <c r="O4" s="57"/>
      <c r="P4" s="57"/>
      <c r="Q4" s="57"/>
      <c r="R4" s="57"/>
      <c r="S4" s="57"/>
      <c r="T4" s="57"/>
      <c r="U4" s="57"/>
      <c r="V4" s="57"/>
      <c r="W4" s="57"/>
      <c r="X4" s="57"/>
      <c r="Y4" s="57"/>
      <c r="Z4" s="57"/>
    </row>
    <row r="5">
      <c r="A5" s="43" t="s">
        <v>168</v>
      </c>
      <c r="B5" s="62">
        <v>81900.0</v>
      </c>
      <c r="C5" s="63">
        <f>IF(B5="","",SUMIFS('設計入力'!D13:D33,'設計入力'!J13:J33,"&gt;="&amp;B5))</f>
        <v>0</v>
      </c>
      <c r="D5" s="44"/>
      <c r="E5" s="61" t="s">
        <v>169</v>
      </c>
      <c r="F5" s="57"/>
      <c r="G5" s="57"/>
      <c r="H5" s="57"/>
      <c r="I5" s="57"/>
      <c r="J5" s="57"/>
      <c r="K5" s="57"/>
      <c r="L5" s="57"/>
      <c r="M5" s="57"/>
      <c r="N5" s="57"/>
      <c r="O5" s="57"/>
      <c r="P5" s="57"/>
      <c r="Q5" s="57"/>
      <c r="R5" s="57"/>
      <c r="S5" s="57"/>
      <c r="T5" s="57"/>
      <c r="U5" s="57"/>
      <c r="V5" s="57"/>
      <c r="W5" s="57"/>
      <c r="X5" s="57"/>
      <c r="Y5" s="57"/>
      <c r="Z5" s="57"/>
    </row>
    <row r="6">
      <c r="A6" s="43" t="s">
        <v>170</v>
      </c>
      <c r="B6" s="62">
        <v>319.0</v>
      </c>
      <c r="C6" s="64" t="str">
        <f>IF(OR(B5="",C5="",C5=0),"",'設計入力'!D6/C5)</f>
        <v/>
      </c>
      <c r="D6" s="44" t="str">
        <f>IF(OR(B6="",C6=""),"未入力",IF(C6&lt;=B6,"OK 表記より有利","NG 実確率が表記より不利（要修正）"))</f>
        <v>未入力</v>
      </c>
      <c r="E6" s="61" t="s">
        <v>171</v>
      </c>
      <c r="F6" s="57"/>
      <c r="G6" s="57"/>
      <c r="H6" s="57"/>
      <c r="I6" s="57"/>
      <c r="J6" s="57"/>
      <c r="K6" s="57"/>
      <c r="L6" s="57"/>
      <c r="M6" s="57"/>
      <c r="N6" s="57"/>
      <c r="O6" s="57"/>
      <c r="P6" s="57"/>
      <c r="Q6" s="57"/>
      <c r="R6" s="57"/>
      <c r="S6" s="57"/>
      <c r="T6" s="57"/>
      <c r="U6" s="57"/>
      <c r="V6" s="57"/>
      <c r="W6" s="57"/>
      <c r="X6" s="57"/>
      <c r="Y6" s="57"/>
      <c r="Z6" s="57"/>
    </row>
    <row r="7">
      <c r="A7" s="50" t="s">
        <v>172</v>
      </c>
      <c r="B7" s="65"/>
      <c r="C7" s="63" t="str">
        <f>IF(B7="","",SUMIFS('設計入力'!D13:D33,'設計入力'!J13:J33,"&gt;="&amp;B7))</f>
        <v/>
      </c>
      <c r="D7" s="44"/>
      <c r="E7" s="61" t="s">
        <v>173</v>
      </c>
      <c r="F7" s="57"/>
      <c r="G7" s="57"/>
      <c r="H7" s="57"/>
      <c r="I7" s="57"/>
      <c r="J7" s="57"/>
      <c r="K7" s="57"/>
      <c r="L7" s="57"/>
      <c r="M7" s="57"/>
      <c r="N7" s="57"/>
      <c r="O7" s="57"/>
      <c r="P7" s="57"/>
      <c r="Q7" s="57"/>
      <c r="R7" s="57"/>
      <c r="S7" s="57"/>
      <c r="T7" s="57"/>
      <c r="U7" s="57"/>
      <c r="V7" s="57"/>
      <c r="W7" s="57"/>
      <c r="X7" s="57"/>
      <c r="Y7" s="57"/>
      <c r="Z7" s="57"/>
    </row>
    <row r="8">
      <c r="A8" s="50" t="s">
        <v>174</v>
      </c>
      <c r="B8" s="65"/>
      <c r="C8" s="64" t="str">
        <f>IF(OR(B7="",C7="",C7=0),"",'設計入力'!D6/C7)</f>
        <v/>
      </c>
      <c r="D8" s="44" t="str">
        <f>IF(AND(B7="",B8=""),"—（未使用）",IF(OR(B7="",B8="",C8=""),"未入力（XとYを両方入力）",IF(C8&lt;=B8,"OK 表記より有利","NG 実確率が表記より不利（要修正）")))</f>
        <v>—（未使用）</v>
      </c>
      <c r="E8" s="61" t="s">
        <v>175</v>
      </c>
      <c r="F8" s="57"/>
      <c r="G8" s="57"/>
      <c r="H8" s="57"/>
      <c r="I8" s="57"/>
      <c r="J8" s="57"/>
      <c r="K8" s="57"/>
      <c r="L8" s="57"/>
      <c r="M8" s="57"/>
      <c r="N8" s="57"/>
      <c r="O8" s="57"/>
      <c r="P8" s="57"/>
      <c r="Q8" s="57"/>
      <c r="R8" s="57"/>
      <c r="S8" s="57"/>
      <c r="T8" s="57"/>
      <c r="U8" s="57"/>
      <c r="V8" s="57"/>
      <c r="W8" s="57"/>
      <c r="X8" s="57"/>
      <c r="Y8" s="57"/>
      <c r="Z8" s="57"/>
    </row>
    <row r="9">
      <c r="A9" s="43" t="s">
        <v>176</v>
      </c>
      <c r="B9" s="62">
        <v>1.0</v>
      </c>
      <c r="C9" s="63">
        <f>IF('設計入力'!K34=0,"",MIN('設計入力'!J13:J33))</f>
        <v>0</v>
      </c>
      <c r="D9" s="44" t="str">
        <f>IF(OR(B9="",C9=""),"未入力",IF(C9&gt;=B9,"OK","NG 最低保証を下回る賞が存在"))</f>
        <v>NG 最低保証を下回る賞が存在</v>
      </c>
      <c r="E9" s="61" t="s">
        <v>177</v>
      </c>
      <c r="F9" s="57"/>
      <c r="G9" s="57"/>
      <c r="H9" s="57"/>
      <c r="I9" s="57"/>
      <c r="J9" s="57"/>
      <c r="K9" s="57"/>
      <c r="L9" s="57"/>
      <c r="M9" s="57"/>
      <c r="N9" s="57"/>
      <c r="O9" s="57"/>
      <c r="P9" s="57"/>
      <c r="Q9" s="57"/>
      <c r="R9" s="57"/>
      <c r="S9" s="57"/>
      <c r="T9" s="57"/>
      <c r="U9" s="57"/>
      <c r="V9" s="57"/>
      <c r="W9" s="57"/>
      <c r="X9" s="57"/>
      <c r="Y9" s="57"/>
      <c r="Z9" s="57"/>
    </row>
    <row r="10">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c r="A11" s="66" t="s">
        <v>178</v>
      </c>
      <c r="B11" s="11"/>
      <c r="C11" s="11"/>
      <c r="D11" s="11"/>
      <c r="E11" s="12"/>
      <c r="F11" s="57"/>
      <c r="G11" s="57"/>
      <c r="H11" s="57"/>
      <c r="I11" s="57"/>
      <c r="J11" s="57"/>
      <c r="K11" s="57"/>
      <c r="L11" s="57"/>
      <c r="M11" s="57"/>
      <c r="N11" s="57"/>
      <c r="O11" s="57"/>
      <c r="P11" s="57"/>
      <c r="Q11" s="57"/>
      <c r="R11" s="57"/>
      <c r="S11" s="57"/>
      <c r="T11" s="57"/>
      <c r="U11" s="57"/>
      <c r="V11" s="57"/>
      <c r="W11" s="57"/>
      <c r="X11" s="57"/>
      <c r="Y11" s="57"/>
      <c r="Z11" s="57"/>
    </row>
    <row r="12">
      <c r="A12" s="25" t="s">
        <v>80</v>
      </c>
      <c r="B12" s="25" t="s">
        <v>179</v>
      </c>
      <c r="C12" s="25" t="s">
        <v>180</v>
      </c>
      <c r="D12" s="57"/>
      <c r="E12" s="57"/>
      <c r="F12" s="57"/>
      <c r="G12" s="57"/>
      <c r="H12" s="57"/>
      <c r="I12" s="57"/>
      <c r="J12" s="57"/>
      <c r="K12" s="57"/>
      <c r="L12" s="57"/>
      <c r="M12" s="57"/>
      <c r="N12" s="57"/>
      <c r="O12" s="57"/>
      <c r="P12" s="57"/>
      <c r="Q12" s="57"/>
      <c r="R12" s="57"/>
      <c r="S12" s="57"/>
      <c r="T12" s="57"/>
      <c r="U12" s="57"/>
      <c r="V12" s="57"/>
      <c r="W12" s="57"/>
      <c r="X12" s="57"/>
      <c r="Y12" s="57"/>
      <c r="Z12" s="57"/>
    </row>
    <row r="13">
      <c r="A13" s="45" t="s">
        <v>181</v>
      </c>
      <c r="B13" s="67"/>
      <c r="C13" s="68"/>
      <c r="D13" s="57"/>
      <c r="E13" s="57"/>
      <c r="F13" s="57"/>
      <c r="G13" s="57"/>
      <c r="H13" s="57"/>
      <c r="I13" s="57"/>
      <c r="J13" s="57"/>
      <c r="K13" s="57"/>
      <c r="L13" s="57"/>
      <c r="M13" s="57"/>
      <c r="N13" s="57"/>
      <c r="O13" s="57"/>
      <c r="P13" s="57"/>
      <c r="Q13" s="57"/>
      <c r="R13" s="57"/>
      <c r="S13" s="57"/>
      <c r="T13" s="57"/>
      <c r="U13" s="57"/>
      <c r="V13" s="57"/>
      <c r="W13" s="57"/>
      <c r="X13" s="57"/>
      <c r="Y13" s="57"/>
      <c r="Z13" s="57"/>
    </row>
    <row r="14">
      <c r="A14" s="45" t="s">
        <v>182</v>
      </c>
      <c r="B14" s="67"/>
      <c r="C14" s="68"/>
      <c r="D14" s="57"/>
      <c r="E14" s="57"/>
      <c r="F14" s="57"/>
      <c r="G14" s="57"/>
      <c r="H14" s="57"/>
      <c r="I14" s="57"/>
      <c r="J14" s="57"/>
      <c r="K14" s="57"/>
      <c r="L14" s="57"/>
      <c r="M14" s="57"/>
      <c r="N14" s="57"/>
      <c r="O14" s="57"/>
      <c r="P14" s="57"/>
      <c r="Q14" s="57"/>
      <c r="R14" s="57"/>
      <c r="S14" s="57"/>
      <c r="T14" s="57"/>
      <c r="U14" s="57"/>
      <c r="V14" s="57"/>
      <c r="W14" s="57"/>
      <c r="X14" s="57"/>
      <c r="Y14" s="57"/>
      <c r="Z14" s="57"/>
    </row>
    <row r="15">
      <c r="A15" s="45" t="s">
        <v>183</v>
      </c>
      <c r="B15" s="67"/>
      <c r="C15" s="68"/>
      <c r="D15" s="57"/>
      <c r="E15" s="57"/>
      <c r="F15" s="57"/>
      <c r="G15" s="57"/>
      <c r="H15" s="57"/>
      <c r="I15" s="57"/>
      <c r="J15" s="57"/>
      <c r="K15" s="57"/>
      <c r="L15" s="57"/>
      <c r="M15" s="57"/>
      <c r="N15" s="57"/>
      <c r="O15" s="57"/>
      <c r="P15" s="57"/>
      <c r="Q15" s="57"/>
      <c r="R15" s="57"/>
      <c r="S15" s="57"/>
      <c r="T15" s="57"/>
      <c r="U15" s="57"/>
      <c r="V15" s="57"/>
      <c r="W15" s="57"/>
      <c r="X15" s="57"/>
      <c r="Y15" s="57"/>
      <c r="Z15" s="57"/>
    </row>
    <row r="16">
      <c r="A16" s="44" t="s">
        <v>184</v>
      </c>
      <c r="B16" s="67"/>
      <c r="C16" s="68"/>
      <c r="D16" s="57"/>
      <c r="E16" s="57"/>
      <c r="F16" s="57"/>
      <c r="G16" s="57"/>
      <c r="H16" s="57"/>
      <c r="I16" s="57"/>
      <c r="J16" s="57"/>
      <c r="K16" s="57"/>
      <c r="L16" s="57"/>
      <c r="M16" s="57"/>
      <c r="N16" s="57"/>
      <c r="O16" s="57"/>
      <c r="P16" s="57"/>
      <c r="Q16" s="57"/>
      <c r="R16" s="57"/>
      <c r="S16" s="57"/>
      <c r="T16" s="57"/>
      <c r="U16" s="57"/>
      <c r="V16" s="57"/>
      <c r="W16" s="57"/>
      <c r="X16" s="57"/>
      <c r="Y16" s="57"/>
      <c r="Z16" s="57"/>
    </row>
    <row r="17">
      <c r="A17" s="45" t="s">
        <v>185</v>
      </c>
      <c r="B17" s="67"/>
      <c r="C17" s="68"/>
      <c r="D17" s="57"/>
      <c r="E17" s="57"/>
      <c r="F17" s="57"/>
      <c r="G17" s="57"/>
      <c r="H17" s="57"/>
      <c r="I17" s="57"/>
      <c r="J17" s="57"/>
      <c r="K17" s="57"/>
      <c r="L17" s="57"/>
      <c r="M17" s="57"/>
      <c r="N17" s="57"/>
      <c r="O17" s="57"/>
      <c r="P17" s="57"/>
      <c r="Q17" s="57"/>
      <c r="R17" s="57"/>
      <c r="S17" s="57"/>
      <c r="T17" s="57"/>
      <c r="U17" s="57"/>
      <c r="V17" s="57"/>
      <c r="W17" s="57"/>
      <c r="X17" s="57"/>
      <c r="Y17" s="57"/>
      <c r="Z17" s="57"/>
    </row>
    <row r="18">
      <c r="A18" s="45" t="s">
        <v>186</v>
      </c>
      <c r="B18" s="67"/>
      <c r="C18" s="68"/>
      <c r="D18" s="57"/>
      <c r="E18" s="57"/>
      <c r="F18" s="57"/>
      <c r="G18" s="57"/>
      <c r="H18" s="57"/>
      <c r="I18" s="57"/>
      <c r="J18" s="57"/>
      <c r="K18" s="57"/>
      <c r="L18" s="57"/>
      <c r="M18" s="57"/>
      <c r="N18" s="57"/>
      <c r="O18" s="57"/>
      <c r="P18" s="57"/>
      <c r="Q18" s="57"/>
      <c r="R18" s="57"/>
      <c r="S18" s="57"/>
      <c r="T18" s="57"/>
      <c r="U18" s="57"/>
      <c r="V18" s="57"/>
      <c r="W18" s="57"/>
      <c r="X18" s="57"/>
      <c r="Y18" s="57"/>
      <c r="Z18" s="57"/>
    </row>
    <row r="19">
      <c r="A19" s="45" t="s">
        <v>187</v>
      </c>
      <c r="B19" s="67"/>
      <c r="C19" s="68"/>
      <c r="D19" s="57"/>
      <c r="E19" s="57"/>
      <c r="F19" s="57"/>
      <c r="G19" s="57"/>
      <c r="H19" s="57"/>
      <c r="I19" s="57"/>
      <c r="J19" s="57"/>
      <c r="K19" s="57"/>
      <c r="L19" s="57"/>
      <c r="M19" s="57"/>
      <c r="N19" s="57"/>
      <c r="O19" s="57"/>
      <c r="P19" s="57"/>
      <c r="Q19" s="57"/>
      <c r="R19" s="57"/>
      <c r="S19" s="57"/>
      <c r="T19" s="57"/>
      <c r="U19" s="57"/>
      <c r="V19" s="57"/>
      <c r="W19" s="57"/>
      <c r="X19" s="57"/>
      <c r="Y19" s="57"/>
      <c r="Z19" s="57"/>
    </row>
    <row r="20" ht="15.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43" t="s">
        <v>188</v>
      </c>
      <c r="B21" s="69" t="str">
        <f>SUMPRODUCT((B13:B19&lt;&gt;"")*(C13:C19&lt;&gt;""))&amp;" / 7"</f>
        <v>0 / 7</v>
      </c>
      <c r="C21" s="57"/>
      <c r="D21" s="44" t="str">
        <f>IF(SUMPRODUCT((B13:B19&lt;&gt;"")*(C13:C19&lt;&gt;""))=7,"OK 全項目完了","未完了 "&amp;(7-SUMPRODUCT((B13:B19&lt;&gt;"")*(C13:C19&lt;&gt;"")))&amp;" 件")</f>
        <v>未完了 7 件</v>
      </c>
      <c r="E21" s="61" t="s">
        <v>189</v>
      </c>
      <c r="F21" s="57"/>
      <c r="G21" s="57"/>
      <c r="H21" s="57"/>
      <c r="I21" s="57"/>
      <c r="J21" s="57"/>
      <c r="K21" s="57"/>
      <c r="L21" s="57"/>
      <c r="M21" s="57"/>
      <c r="N21" s="57"/>
      <c r="O21" s="57"/>
      <c r="P21" s="57"/>
      <c r="Q21" s="57"/>
      <c r="R21" s="57"/>
      <c r="S21" s="57"/>
      <c r="T21" s="57"/>
      <c r="U21" s="57"/>
      <c r="V21" s="57"/>
      <c r="W21" s="57"/>
      <c r="X21" s="57"/>
      <c r="Y21" s="57"/>
      <c r="Z21" s="57"/>
    </row>
    <row r="22" ht="15.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30.0" customHeight="1">
      <c r="A23" s="70" t="s">
        <v>190</v>
      </c>
      <c r="B23" s="71"/>
      <c r="C23" s="71"/>
      <c r="D23" s="56" t="str">
        <f>IF('自動判定'!C49="","未入力（自動判定を先に完成）",IF(LEFT('自動判定'!C49,2)="NG","NG 自動判定がNGのため公開不可",IF(COUNTIF(D4:D21,"NG*")&gt;0,"NG バナー表記の乖離を修正してください",IF(OR(COUNTIF(D4:D21,"未入*")&gt;0,COUNTIF(D4:D21,"未完*")&gt;0,LEFT('自動判定'!C49,2)="未入"),"未完了 — 未入力/未完了を解消してください","OK 公開準備完了"))))</f>
        <v>NG バナー表記の乖離を修正してください</v>
      </c>
      <c r="E23" s="61" t="s">
        <v>191</v>
      </c>
      <c r="F23" s="57"/>
      <c r="G23" s="57"/>
      <c r="H23" s="57"/>
      <c r="I23" s="57"/>
      <c r="J23" s="57"/>
      <c r="K23" s="57"/>
      <c r="L23" s="57"/>
      <c r="M23" s="57"/>
      <c r="N23" s="57"/>
      <c r="O23" s="57"/>
      <c r="P23" s="57"/>
      <c r="Q23" s="57"/>
      <c r="R23" s="57"/>
      <c r="S23" s="57"/>
      <c r="T23" s="57"/>
      <c r="U23" s="57"/>
      <c r="V23" s="57"/>
      <c r="W23" s="57"/>
      <c r="X23" s="57"/>
      <c r="Y23" s="57"/>
      <c r="Z23" s="57"/>
    </row>
    <row r="24" ht="15.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5.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5.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sheetData>
  <mergeCells count="3">
    <mergeCell ref="A1:E1"/>
    <mergeCell ref="A2:E2"/>
    <mergeCell ref="A11:E11"/>
  </mergeCells>
  <conditionalFormatting sqref="D4:D21">
    <cfRule type="expression" dxfId="0" priority="1">
      <formula>LEFT(D4,2)="NG"</formula>
    </cfRule>
  </conditionalFormatting>
  <conditionalFormatting sqref="D4:D21">
    <cfRule type="expression" dxfId="1" priority="2">
      <formula>LEFT(D4,2)="OK"</formula>
    </cfRule>
  </conditionalFormatting>
  <conditionalFormatting sqref="D4:D21">
    <cfRule type="expression" dxfId="2" priority="3">
      <formula>LEFT(D4,2)="注意"</formula>
    </cfRule>
  </conditionalFormatting>
  <conditionalFormatting sqref="D4:D21">
    <cfRule type="expression" dxfId="3" priority="4">
      <formula>LEFT(D4,2)="未入"</formula>
    </cfRule>
  </conditionalFormatting>
  <conditionalFormatting sqref="D4:D21">
    <cfRule type="expression" dxfId="3" priority="5">
      <formula>LEFT(D4,2)="未完"</formula>
    </cfRule>
  </conditionalFormatting>
  <conditionalFormatting sqref="D4:D21">
    <cfRule type="expression" dxfId="3" priority="6">
      <formula>LEFT(D4,1)="—"</formula>
    </cfRule>
  </conditionalFormatting>
  <conditionalFormatting sqref="D23">
    <cfRule type="expression" dxfId="0" priority="7">
      <formula>LEFT(D23,2)="NG"</formula>
    </cfRule>
  </conditionalFormatting>
  <conditionalFormatting sqref="D23">
    <cfRule type="expression" dxfId="1" priority="8">
      <formula>LEFT(D23,2)="OK"</formula>
    </cfRule>
  </conditionalFormatting>
  <conditionalFormatting sqref="D23">
    <cfRule type="expression" dxfId="2" priority="9">
      <formula>LEFT(D23,2)="注意"</formula>
    </cfRule>
  </conditionalFormatting>
  <conditionalFormatting sqref="D23">
    <cfRule type="expression" dxfId="3" priority="10">
      <formula>LEFT(D23,2)="未入"</formula>
    </cfRule>
  </conditionalFormatting>
  <conditionalFormatting sqref="D23">
    <cfRule type="expression" dxfId="3" priority="11">
      <formula>LEFT(D23,2)="未完"</formula>
    </cfRule>
  </conditionalFormatting>
  <conditionalFormatting sqref="D23">
    <cfRule type="expression" dxfId="3" priority="12">
      <formula>LEFT(D23,1)="—"</formula>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17.0"/>
    <col customWidth="1" min="3" max="3" width="26.0"/>
    <col customWidth="1" min="4" max="4" width="58.0"/>
    <col customWidth="1" min="5" max="5" width="48.0"/>
    <col customWidth="1" min="6" max="6" width="44.0"/>
    <col customWidth="1" min="7" max="26" width="8.71"/>
  </cols>
  <sheetData>
    <row r="1" ht="21.75" customHeight="1">
      <c r="A1" s="42" t="s">
        <v>192</v>
      </c>
      <c r="B1" s="11"/>
      <c r="C1" s="11"/>
      <c r="D1" s="11"/>
      <c r="E1" s="11"/>
      <c r="F1" s="12"/>
      <c r="G1" s="57"/>
      <c r="H1" s="57"/>
      <c r="I1" s="57"/>
      <c r="J1" s="57"/>
      <c r="K1" s="57"/>
      <c r="L1" s="57"/>
      <c r="M1" s="57"/>
      <c r="N1" s="57"/>
      <c r="O1" s="57"/>
      <c r="P1" s="57"/>
      <c r="Q1" s="57"/>
      <c r="R1" s="57"/>
      <c r="S1" s="57"/>
      <c r="T1" s="57"/>
      <c r="U1" s="57"/>
      <c r="V1" s="57"/>
      <c r="W1" s="57"/>
      <c r="X1" s="57"/>
      <c r="Y1" s="57"/>
      <c r="Z1" s="57"/>
    </row>
    <row r="2">
      <c r="A2" s="72" t="s">
        <v>193</v>
      </c>
      <c r="B2" s="25" t="s">
        <v>194</v>
      </c>
      <c r="C2" s="25" t="s">
        <v>195</v>
      </c>
      <c r="D2" s="25" t="s">
        <v>196</v>
      </c>
      <c r="E2" s="72" t="s">
        <v>197</v>
      </c>
      <c r="F2" s="25" t="s">
        <v>198</v>
      </c>
      <c r="G2" s="57"/>
      <c r="H2" s="57"/>
      <c r="I2" s="57"/>
      <c r="J2" s="57"/>
      <c r="K2" s="57"/>
      <c r="L2" s="57"/>
      <c r="M2" s="57"/>
      <c r="N2" s="57"/>
      <c r="O2" s="57"/>
      <c r="P2" s="57"/>
      <c r="Q2" s="57"/>
      <c r="R2" s="57"/>
      <c r="S2" s="57"/>
      <c r="T2" s="57"/>
      <c r="U2" s="57"/>
      <c r="V2" s="57"/>
      <c r="W2" s="57"/>
      <c r="X2" s="57"/>
      <c r="Y2" s="57"/>
      <c r="Z2" s="57"/>
    </row>
    <row r="3">
      <c r="A3" s="73" t="s">
        <v>199</v>
      </c>
      <c r="B3" s="11"/>
      <c r="C3" s="11"/>
      <c r="D3" s="11"/>
      <c r="E3" s="11"/>
      <c r="F3" s="12"/>
      <c r="G3" s="57"/>
      <c r="H3" s="57"/>
      <c r="I3" s="57"/>
      <c r="J3" s="57"/>
      <c r="K3" s="57"/>
      <c r="L3" s="57"/>
      <c r="M3" s="57"/>
      <c r="N3" s="57"/>
      <c r="O3" s="57"/>
      <c r="P3" s="57"/>
      <c r="Q3" s="57"/>
      <c r="R3" s="57"/>
      <c r="S3" s="57"/>
      <c r="T3" s="57"/>
      <c r="U3" s="57"/>
      <c r="V3" s="57"/>
      <c r="W3" s="57"/>
      <c r="X3" s="57"/>
      <c r="Y3" s="57"/>
      <c r="Z3" s="57"/>
    </row>
    <row r="4">
      <c r="A4" s="74" t="s">
        <v>200</v>
      </c>
      <c r="B4" s="75" t="s">
        <v>201</v>
      </c>
      <c r="C4" s="76" t="s">
        <v>202</v>
      </c>
      <c r="D4" s="77" t="s">
        <v>203</v>
      </c>
      <c r="E4" s="78" t="s">
        <v>204</v>
      </c>
      <c r="F4" s="74" t="s">
        <v>205</v>
      </c>
      <c r="G4" s="57"/>
      <c r="H4" s="57"/>
      <c r="I4" s="57"/>
      <c r="J4" s="57"/>
      <c r="K4" s="57"/>
      <c r="L4" s="57"/>
      <c r="M4" s="57"/>
      <c r="N4" s="57"/>
      <c r="O4" s="57"/>
      <c r="P4" s="57"/>
      <c r="Q4" s="57"/>
      <c r="R4" s="57"/>
      <c r="S4" s="57"/>
      <c r="T4" s="57"/>
      <c r="U4" s="57"/>
      <c r="V4" s="57"/>
      <c r="W4" s="57"/>
      <c r="X4" s="57"/>
      <c r="Y4" s="57"/>
      <c r="Z4" s="57"/>
    </row>
    <row r="5">
      <c r="A5" s="74" t="s">
        <v>206</v>
      </c>
      <c r="B5" s="75" t="s">
        <v>207</v>
      </c>
      <c r="C5" s="76" t="s">
        <v>166</v>
      </c>
      <c r="D5" s="77" t="s">
        <v>208</v>
      </c>
      <c r="E5" s="78" t="s">
        <v>209</v>
      </c>
      <c r="F5" s="74" t="s">
        <v>210</v>
      </c>
      <c r="G5" s="57"/>
      <c r="H5" s="57"/>
      <c r="I5" s="57"/>
      <c r="J5" s="57"/>
      <c r="K5" s="57"/>
      <c r="L5" s="57"/>
      <c r="M5" s="57"/>
      <c r="N5" s="57"/>
      <c r="O5" s="57"/>
      <c r="P5" s="57"/>
      <c r="Q5" s="57"/>
      <c r="R5" s="57"/>
      <c r="S5" s="57"/>
      <c r="T5" s="57"/>
      <c r="U5" s="57"/>
      <c r="V5" s="57"/>
      <c r="W5" s="57"/>
      <c r="X5" s="57"/>
      <c r="Y5" s="57"/>
      <c r="Z5" s="57"/>
    </row>
    <row r="6">
      <c r="A6" s="74" t="s">
        <v>211</v>
      </c>
      <c r="B6" s="75" t="s">
        <v>212</v>
      </c>
      <c r="C6" s="76" t="s">
        <v>213</v>
      </c>
      <c r="D6" s="77" t="s">
        <v>214</v>
      </c>
      <c r="E6" s="78" t="s">
        <v>215</v>
      </c>
      <c r="F6" s="74" t="s">
        <v>216</v>
      </c>
      <c r="G6" s="57"/>
      <c r="H6" s="57"/>
      <c r="I6" s="57"/>
      <c r="J6" s="57"/>
      <c r="K6" s="57"/>
      <c r="L6" s="57"/>
      <c r="M6" s="57"/>
      <c r="N6" s="57"/>
      <c r="O6" s="57"/>
      <c r="P6" s="57"/>
      <c r="Q6" s="57"/>
      <c r="R6" s="57"/>
      <c r="S6" s="57"/>
      <c r="T6" s="57"/>
      <c r="U6" s="57"/>
      <c r="V6" s="57"/>
      <c r="W6" s="57"/>
      <c r="X6" s="57"/>
      <c r="Y6" s="57"/>
      <c r="Z6" s="57"/>
    </row>
    <row r="7">
      <c r="A7" s="73" t="s">
        <v>217</v>
      </c>
      <c r="B7" s="11"/>
      <c r="C7" s="11"/>
      <c r="D7" s="11"/>
      <c r="E7" s="11"/>
      <c r="F7" s="12"/>
      <c r="G7" s="57"/>
      <c r="H7" s="57"/>
      <c r="I7" s="57"/>
      <c r="J7" s="57"/>
      <c r="K7" s="57"/>
      <c r="L7" s="57"/>
      <c r="M7" s="57"/>
      <c r="N7" s="57"/>
      <c r="O7" s="57"/>
      <c r="P7" s="57"/>
      <c r="Q7" s="57"/>
      <c r="R7" s="57"/>
      <c r="S7" s="57"/>
      <c r="T7" s="57"/>
      <c r="U7" s="57"/>
      <c r="V7" s="57"/>
      <c r="W7" s="57"/>
      <c r="X7" s="57"/>
      <c r="Y7" s="57"/>
      <c r="Z7" s="57"/>
    </row>
    <row r="8">
      <c r="A8" s="74" t="s">
        <v>218</v>
      </c>
      <c r="B8" s="75" t="s">
        <v>219</v>
      </c>
      <c r="C8" s="76" t="s">
        <v>220</v>
      </c>
      <c r="D8" s="77" t="s">
        <v>221</v>
      </c>
      <c r="E8" s="78" t="s">
        <v>222</v>
      </c>
      <c r="F8" s="74" t="s">
        <v>223</v>
      </c>
      <c r="G8" s="57"/>
      <c r="H8" s="57"/>
      <c r="I8" s="57"/>
      <c r="J8" s="57"/>
      <c r="K8" s="57"/>
      <c r="L8" s="57"/>
      <c r="M8" s="57"/>
      <c r="N8" s="57"/>
      <c r="O8" s="57"/>
      <c r="P8" s="57"/>
      <c r="Q8" s="57"/>
      <c r="R8" s="57"/>
      <c r="S8" s="57"/>
      <c r="T8" s="57"/>
      <c r="U8" s="57"/>
      <c r="V8" s="57"/>
      <c r="W8" s="57"/>
      <c r="X8" s="57"/>
      <c r="Y8" s="57"/>
      <c r="Z8" s="57"/>
    </row>
    <row r="9">
      <c r="A9" s="74" t="s">
        <v>224</v>
      </c>
      <c r="B9" s="75" t="s">
        <v>225</v>
      </c>
      <c r="C9" s="76" t="s">
        <v>226</v>
      </c>
      <c r="D9" s="77" t="s">
        <v>227</v>
      </c>
      <c r="E9" s="78" t="s">
        <v>228</v>
      </c>
      <c r="F9" s="74" t="s">
        <v>229</v>
      </c>
      <c r="G9" s="57"/>
      <c r="H9" s="57"/>
      <c r="I9" s="57"/>
      <c r="J9" s="57"/>
      <c r="K9" s="57"/>
      <c r="L9" s="57"/>
      <c r="M9" s="57"/>
      <c r="N9" s="57"/>
      <c r="O9" s="57"/>
      <c r="P9" s="57"/>
      <c r="Q9" s="57"/>
      <c r="R9" s="57"/>
      <c r="S9" s="57"/>
      <c r="T9" s="57"/>
      <c r="U9" s="57"/>
      <c r="V9" s="57"/>
      <c r="W9" s="57"/>
      <c r="X9" s="57"/>
      <c r="Y9" s="57"/>
      <c r="Z9" s="57"/>
    </row>
    <row r="10">
      <c r="A10" s="74" t="s">
        <v>230</v>
      </c>
      <c r="B10" s="75" t="s">
        <v>231</v>
      </c>
      <c r="C10" s="76" t="s">
        <v>232</v>
      </c>
      <c r="D10" s="77" t="s">
        <v>233</v>
      </c>
      <c r="E10" s="78" t="s">
        <v>234</v>
      </c>
      <c r="F10" s="74" t="s">
        <v>235</v>
      </c>
      <c r="G10" s="57"/>
      <c r="H10" s="57"/>
      <c r="I10" s="57"/>
      <c r="J10" s="57"/>
      <c r="K10" s="57"/>
      <c r="L10" s="57"/>
      <c r="M10" s="57"/>
      <c r="N10" s="57"/>
      <c r="O10" s="57"/>
      <c r="P10" s="57"/>
      <c r="Q10" s="57"/>
      <c r="R10" s="57"/>
      <c r="S10" s="57"/>
      <c r="T10" s="57"/>
      <c r="U10" s="57"/>
      <c r="V10" s="57"/>
      <c r="W10" s="57"/>
      <c r="X10" s="57"/>
      <c r="Y10" s="57"/>
      <c r="Z10" s="57"/>
    </row>
    <row r="11">
      <c r="A11" s="74" t="s">
        <v>236</v>
      </c>
      <c r="B11" s="75" t="s">
        <v>237</v>
      </c>
      <c r="C11" s="76" t="s">
        <v>238</v>
      </c>
      <c r="D11" s="77" t="s">
        <v>239</v>
      </c>
      <c r="E11" s="78" t="s">
        <v>240</v>
      </c>
      <c r="F11" s="74" t="s">
        <v>241</v>
      </c>
      <c r="G11" s="57"/>
      <c r="H11" s="57"/>
      <c r="I11" s="57"/>
      <c r="J11" s="57"/>
      <c r="K11" s="57"/>
      <c r="L11" s="57"/>
      <c r="M11" s="57"/>
      <c r="N11" s="57"/>
      <c r="O11" s="57"/>
      <c r="P11" s="57"/>
      <c r="Q11" s="57"/>
      <c r="R11" s="57"/>
      <c r="S11" s="57"/>
      <c r="T11" s="57"/>
      <c r="U11" s="57"/>
      <c r="V11" s="57"/>
      <c r="W11" s="57"/>
      <c r="X11" s="57"/>
      <c r="Y11" s="57"/>
      <c r="Z11" s="57"/>
    </row>
    <row r="12">
      <c r="A12" s="74" t="s">
        <v>242</v>
      </c>
      <c r="B12" s="75" t="s">
        <v>243</v>
      </c>
      <c r="C12" s="76" t="s">
        <v>244</v>
      </c>
      <c r="D12" s="77" t="s">
        <v>245</v>
      </c>
      <c r="E12" s="78" t="s">
        <v>246</v>
      </c>
      <c r="F12" s="77" t="s">
        <v>247</v>
      </c>
      <c r="G12" s="57"/>
      <c r="H12" s="57"/>
      <c r="I12" s="57"/>
      <c r="J12" s="57"/>
      <c r="K12" s="57"/>
      <c r="L12" s="57"/>
      <c r="M12" s="57"/>
      <c r="N12" s="57"/>
      <c r="O12" s="57"/>
      <c r="P12" s="57"/>
      <c r="Q12" s="57"/>
      <c r="R12" s="57"/>
      <c r="S12" s="57"/>
      <c r="T12" s="57"/>
      <c r="U12" s="57"/>
      <c r="V12" s="57"/>
      <c r="W12" s="57"/>
      <c r="X12" s="57"/>
      <c r="Y12" s="57"/>
      <c r="Z12" s="57"/>
    </row>
    <row r="13">
      <c r="A13" s="73" t="s">
        <v>248</v>
      </c>
      <c r="B13" s="11"/>
      <c r="C13" s="11"/>
      <c r="D13" s="11"/>
      <c r="E13" s="11"/>
      <c r="F13" s="12"/>
      <c r="G13" s="57"/>
      <c r="H13" s="57"/>
      <c r="I13" s="57"/>
      <c r="J13" s="57"/>
      <c r="K13" s="57"/>
      <c r="L13" s="57"/>
      <c r="M13" s="57"/>
      <c r="N13" s="57"/>
      <c r="O13" s="57"/>
      <c r="P13" s="57"/>
      <c r="Q13" s="57"/>
      <c r="R13" s="57"/>
      <c r="S13" s="57"/>
      <c r="T13" s="57"/>
      <c r="U13" s="57"/>
      <c r="V13" s="57"/>
      <c r="W13" s="57"/>
      <c r="X13" s="57"/>
      <c r="Y13" s="57"/>
      <c r="Z13" s="57"/>
    </row>
    <row r="14">
      <c r="A14" s="74" t="s">
        <v>249</v>
      </c>
      <c r="B14" s="75" t="s">
        <v>250</v>
      </c>
      <c r="C14" s="76" t="s">
        <v>251</v>
      </c>
      <c r="D14" s="77" t="s">
        <v>252</v>
      </c>
      <c r="E14" s="78" t="s">
        <v>253</v>
      </c>
      <c r="F14" s="74" t="s">
        <v>254</v>
      </c>
      <c r="G14" s="57"/>
      <c r="H14" s="57"/>
      <c r="I14" s="57"/>
      <c r="J14" s="57"/>
      <c r="K14" s="57"/>
      <c r="L14" s="57"/>
      <c r="M14" s="57"/>
      <c r="N14" s="57"/>
      <c r="O14" s="57"/>
      <c r="P14" s="57"/>
      <c r="Q14" s="57"/>
      <c r="R14" s="57"/>
      <c r="S14" s="57"/>
      <c r="T14" s="57"/>
      <c r="U14" s="57"/>
      <c r="V14" s="57"/>
      <c r="W14" s="57"/>
      <c r="X14" s="57"/>
      <c r="Y14" s="57"/>
      <c r="Z14" s="57"/>
    </row>
    <row r="15">
      <c r="A15" s="74" t="s">
        <v>255</v>
      </c>
      <c r="B15" s="75" t="s">
        <v>256</v>
      </c>
      <c r="C15" s="76" t="s">
        <v>257</v>
      </c>
      <c r="D15" s="77" t="s">
        <v>258</v>
      </c>
      <c r="E15" s="78" t="s">
        <v>259</v>
      </c>
      <c r="F15" s="74" t="s">
        <v>260</v>
      </c>
      <c r="G15" s="57"/>
      <c r="H15" s="57"/>
      <c r="I15" s="57"/>
      <c r="J15" s="57"/>
      <c r="K15" s="57"/>
      <c r="L15" s="57"/>
      <c r="M15" s="57"/>
      <c r="N15" s="57"/>
      <c r="O15" s="57"/>
      <c r="P15" s="57"/>
      <c r="Q15" s="57"/>
      <c r="R15" s="57"/>
      <c r="S15" s="57"/>
      <c r="T15" s="57"/>
      <c r="U15" s="57"/>
      <c r="V15" s="57"/>
      <c r="W15" s="57"/>
      <c r="X15" s="57"/>
      <c r="Y15" s="57"/>
      <c r="Z15" s="57"/>
    </row>
    <row r="16">
      <c r="A16" s="74" t="s">
        <v>261</v>
      </c>
      <c r="B16" s="75" t="s">
        <v>262</v>
      </c>
      <c r="C16" s="76" t="s">
        <v>263</v>
      </c>
      <c r="D16" s="77" t="s">
        <v>264</v>
      </c>
      <c r="E16" s="78" t="s">
        <v>265</v>
      </c>
      <c r="F16" s="77" t="s">
        <v>266</v>
      </c>
      <c r="G16" s="57"/>
      <c r="H16" s="57"/>
      <c r="I16" s="57"/>
      <c r="J16" s="57"/>
      <c r="K16" s="57"/>
      <c r="L16" s="57"/>
      <c r="M16" s="57"/>
      <c r="N16" s="57"/>
      <c r="O16" s="57"/>
      <c r="P16" s="57"/>
      <c r="Q16" s="57"/>
      <c r="R16" s="57"/>
      <c r="S16" s="57"/>
      <c r="T16" s="57"/>
      <c r="U16" s="57"/>
      <c r="V16" s="57"/>
      <c r="W16" s="57"/>
      <c r="X16" s="57"/>
      <c r="Y16" s="57"/>
      <c r="Z16" s="57"/>
    </row>
    <row r="17">
      <c r="A17" s="74" t="s">
        <v>267</v>
      </c>
      <c r="B17" s="75" t="s">
        <v>268</v>
      </c>
      <c r="C17" s="76" t="s">
        <v>269</v>
      </c>
      <c r="D17" s="77" t="s">
        <v>270</v>
      </c>
      <c r="E17" s="78" t="s">
        <v>271</v>
      </c>
      <c r="F17" s="77" t="s">
        <v>272</v>
      </c>
      <c r="G17" s="57"/>
      <c r="H17" s="57"/>
      <c r="I17" s="57"/>
      <c r="J17" s="57"/>
      <c r="K17" s="57"/>
      <c r="L17" s="57"/>
      <c r="M17" s="57"/>
      <c r="N17" s="57"/>
      <c r="O17" s="57"/>
      <c r="P17" s="57"/>
      <c r="Q17" s="57"/>
      <c r="R17" s="57"/>
      <c r="S17" s="57"/>
      <c r="T17" s="57"/>
      <c r="U17" s="57"/>
      <c r="V17" s="57"/>
      <c r="W17" s="57"/>
      <c r="X17" s="57"/>
      <c r="Y17" s="57"/>
      <c r="Z17" s="57"/>
    </row>
    <row r="18">
      <c r="A18" s="74" t="s">
        <v>273</v>
      </c>
      <c r="B18" s="75" t="s">
        <v>274</v>
      </c>
      <c r="C18" s="76" t="s">
        <v>275</v>
      </c>
      <c r="D18" s="74" t="s">
        <v>276</v>
      </c>
      <c r="E18" s="78" t="s">
        <v>277</v>
      </c>
      <c r="F18" s="74" t="s">
        <v>278</v>
      </c>
      <c r="G18" s="57"/>
      <c r="H18" s="57"/>
      <c r="I18" s="57"/>
      <c r="J18" s="57"/>
      <c r="K18" s="57"/>
      <c r="L18" s="57"/>
      <c r="M18" s="57"/>
      <c r="N18" s="57"/>
      <c r="O18" s="57"/>
      <c r="P18" s="57"/>
      <c r="Q18" s="57"/>
      <c r="R18" s="57"/>
      <c r="S18" s="57"/>
      <c r="T18" s="57"/>
      <c r="U18" s="57"/>
      <c r="V18" s="57"/>
      <c r="W18" s="57"/>
      <c r="X18" s="57"/>
      <c r="Y18" s="57"/>
      <c r="Z18" s="57"/>
    </row>
    <row r="19">
      <c r="A19" s="74" t="s">
        <v>279</v>
      </c>
      <c r="B19" s="75" t="s">
        <v>280</v>
      </c>
      <c r="C19" s="79" t="s">
        <v>281</v>
      </c>
      <c r="D19" s="77" t="s">
        <v>282</v>
      </c>
      <c r="E19" s="78" t="s">
        <v>283</v>
      </c>
      <c r="F19" s="74" t="s">
        <v>284</v>
      </c>
      <c r="G19" s="57"/>
      <c r="H19" s="57"/>
      <c r="I19" s="57"/>
      <c r="J19" s="57"/>
      <c r="K19" s="57"/>
      <c r="L19" s="57"/>
      <c r="M19" s="57"/>
      <c r="N19" s="57"/>
      <c r="O19" s="57"/>
      <c r="P19" s="57"/>
      <c r="Q19" s="57"/>
      <c r="R19" s="57"/>
      <c r="S19" s="57"/>
      <c r="T19" s="57"/>
      <c r="U19" s="57"/>
      <c r="V19" s="57"/>
      <c r="W19" s="57"/>
      <c r="X19" s="57"/>
      <c r="Y19" s="57"/>
      <c r="Z19" s="57"/>
    </row>
    <row r="20" ht="15.75" customHeight="1">
      <c r="A20" s="74" t="s">
        <v>285</v>
      </c>
      <c r="B20" s="75" t="s">
        <v>286</v>
      </c>
      <c r="C20" s="79" t="s">
        <v>287</v>
      </c>
      <c r="D20" s="77" t="s">
        <v>288</v>
      </c>
      <c r="E20" s="78" t="s">
        <v>289</v>
      </c>
      <c r="F20" s="74" t="s">
        <v>290</v>
      </c>
      <c r="G20" s="57"/>
      <c r="H20" s="57"/>
      <c r="I20" s="57"/>
      <c r="J20" s="57"/>
      <c r="K20" s="57"/>
      <c r="L20" s="57"/>
      <c r="M20" s="57"/>
      <c r="N20" s="57"/>
      <c r="O20" s="57"/>
      <c r="P20" s="57"/>
      <c r="Q20" s="57"/>
      <c r="R20" s="57"/>
      <c r="S20" s="57"/>
      <c r="T20" s="57"/>
      <c r="U20" s="57"/>
      <c r="V20" s="57"/>
      <c r="W20" s="57"/>
      <c r="X20" s="57"/>
      <c r="Y20" s="57"/>
      <c r="Z20" s="57"/>
    </row>
    <row r="21" ht="15.75" customHeight="1">
      <c r="A21" s="74" t="s">
        <v>291</v>
      </c>
      <c r="B21" s="75" t="s">
        <v>292</v>
      </c>
      <c r="C21" s="79" t="s">
        <v>293</v>
      </c>
      <c r="D21" s="77" t="s">
        <v>294</v>
      </c>
      <c r="E21" s="78" t="s">
        <v>295</v>
      </c>
      <c r="F21" s="74" t="s">
        <v>296</v>
      </c>
      <c r="G21" s="57"/>
      <c r="H21" s="57"/>
      <c r="I21" s="57"/>
      <c r="J21" s="57"/>
      <c r="K21" s="57"/>
      <c r="L21" s="57"/>
      <c r="M21" s="57"/>
      <c r="N21" s="57"/>
      <c r="O21" s="57"/>
      <c r="P21" s="57"/>
      <c r="Q21" s="57"/>
      <c r="R21" s="57"/>
      <c r="S21" s="57"/>
      <c r="T21" s="57"/>
      <c r="U21" s="57"/>
      <c r="V21" s="57"/>
      <c r="W21" s="57"/>
      <c r="X21" s="57"/>
      <c r="Y21" s="57"/>
      <c r="Z21" s="57"/>
    </row>
    <row r="22" ht="15.75" customHeight="1">
      <c r="A22" s="74" t="s">
        <v>297</v>
      </c>
      <c r="B22" s="75" t="s">
        <v>298</v>
      </c>
      <c r="C22" s="79" t="s">
        <v>299</v>
      </c>
      <c r="D22" s="77" t="s">
        <v>300</v>
      </c>
      <c r="E22" s="78" t="s">
        <v>301</v>
      </c>
      <c r="F22" s="74" t="s">
        <v>302</v>
      </c>
      <c r="G22" s="57"/>
      <c r="H22" s="57"/>
      <c r="I22" s="57"/>
      <c r="J22" s="57"/>
      <c r="K22" s="57"/>
      <c r="L22" s="57"/>
      <c r="M22" s="57"/>
      <c r="N22" s="57"/>
      <c r="O22" s="57"/>
      <c r="P22" s="57"/>
      <c r="Q22" s="57"/>
      <c r="R22" s="57"/>
      <c r="S22" s="57"/>
      <c r="T22" s="57"/>
      <c r="U22" s="57"/>
      <c r="V22" s="57"/>
      <c r="W22" s="57"/>
      <c r="X22" s="57"/>
      <c r="Y22" s="57"/>
      <c r="Z22" s="57"/>
    </row>
    <row r="23" ht="15.75" customHeight="1">
      <c r="A23" s="74" t="s">
        <v>303</v>
      </c>
      <c r="B23" s="75" t="s">
        <v>304</v>
      </c>
      <c r="C23" s="76" t="s">
        <v>305</v>
      </c>
      <c r="D23" s="74" t="s">
        <v>306</v>
      </c>
      <c r="E23" s="78" t="s">
        <v>307</v>
      </c>
      <c r="F23" s="74" t="s">
        <v>308</v>
      </c>
      <c r="G23" s="57"/>
      <c r="H23" s="57"/>
      <c r="I23" s="57"/>
      <c r="J23" s="57"/>
      <c r="K23" s="57"/>
      <c r="L23" s="57"/>
      <c r="M23" s="57"/>
      <c r="N23" s="57"/>
      <c r="O23" s="57"/>
      <c r="P23" s="57"/>
      <c r="Q23" s="57"/>
      <c r="R23" s="57"/>
      <c r="S23" s="57"/>
      <c r="T23" s="57"/>
      <c r="U23" s="57"/>
      <c r="V23" s="57"/>
      <c r="W23" s="57"/>
      <c r="X23" s="57"/>
      <c r="Y23" s="57"/>
      <c r="Z23" s="57"/>
    </row>
    <row r="24" ht="15.75" customHeight="1">
      <c r="A24" s="74" t="s">
        <v>309</v>
      </c>
      <c r="B24" s="75" t="s">
        <v>310</v>
      </c>
      <c r="C24" s="76" t="s">
        <v>311</v>
      </c>
      <c r="D24" s="77" t="s">
        <v>312</v>
      </c>
      <c r="E24" s="78" t="s">
        <v>313</v>
      </c>
      <c r="F24" s="77" t="s">
        <v>314</v>
      </c>
      <c r="G24" s="57"/>
      <c r="H24" s="57"/>
      <c r="I24" s="57"/>
      <c r="J24" s="57"/>
      <c r="K24" s="57"/>
      <c r="L24" s="57"/>
      <c r="M24" s="57"/>
      <c r="N24" s="57"/>
      <c r="O24" s="57"/>
      <c r="P24" s="57"/>
      <c r="Q24" s="57"/>
      <c r="R24" s="57"/>
      <c r="S24" s="57"/>
      <c r="T24" s="57"/>
      <c r="U24" s="57"/>
      <c r="V24" s="57"/>
      <c r="W24" s="57"/>
      <c r="X24" s="57"/>
      <c r="Y24" s="57"/>
      <c r="Z24" s="57"/>
    </row>
    <row r="25" ht="15.75" customHeight="1">
      <c r="A25" s="73" t="s">
        <v>315</v>
      </c>
      <c r="B25" s="11"/>
      <c r="C25" s="11"/>
      <c r="D25" s="11"/>
      <c r="E25" s="11"/>
      <c r="F25" s="12"/>
      <c r="G25" s="57"/>
      <c r="H25" s="57"/>
      <c r="I25" s="57"/>
      <c r="J25" s="57"/>
      <c r="K25" s="57"/>
      <c r="L25" s="57"/>
      <c r="M25" s="57"/>
      <c r="N25" s="57"/>
      <c r="O25" s="57"/>
      <c r="P25" s="57"/>
      <c r="Q25" s="57"/>
      <c r="R25" s="57"/>
      <c r="S25" s="57"/>
      <c r="T25" s="57"/>
      <c r="U25" s="57"/>
      <c r="V25" s="57"/>
      <c r="W25" s="57"/>
      <c r="X25" s="57"/>
      <c r="Y25" s="57"/>
      <c r="Z25" s="57"/>
    </row>
    <row r="26" ht="15.75" customHeight="1">
      <c r="A26" s="74" t="s">
        <v>316</v>
      </c>
      <c r="B26" s="75" t="s">
        <v>317</v>
      </c>
      <c r="C26" s="76" t="s">
        <v>318</v>
      </c>
      <c r="D26" s="77" t="s">
        <v>319</v>
      </c>
      <c r="E26" s="78" t="s">
        <v>320</v>
      </c>
      <c r="F26" s="74" t="s">
        <v>321</v>
      </c>
      <c r="G26" s="57"/>
      <c r="H26" s="57"/>
      <c r="I26" s="57"/>
      <c r="J26" s="57"/>
      <c r="K26" s="57"/>
      <c r="L26" s="57"/>
      <c r="M26" s="57"/>
      <c r="N26" s="57"/>
      <c r="O26" s="57"/>
      <c r="P26" s="57"/>
      <c r="Q26" s="57"/>
      <c r="R26" s="57"/>
      <c r="S26" s="57"/>
      <c r="T26" s="57"/>
      <c r="U26" s="57"/>
      <c r="V26" s="57"/>
      <c r="W26" s="57"/>
      <c r="X26" s="57"/>
      <c r="Y26" s="57"/>
      <c r="Z26" s="57"/>
    </row>
    <row r="27" ht="15.75" customHeight="1">
      <c r="A27" s="74" t="s">
        <v>322</v>
      </c>
      <c r="B27" s="75" t="s">
        <v>323</v>
      </c>
      <c r="C27" s="76" t="s">
        <v>148</v>
      </c>
      <c r="D27" s="77" t="s">
        <v>324</v>
      </c>
      <c r="E27" s="78" t="s">
        <v>325</v>
      </c>
      <c r="F27" s="74" t="s">
        <v>326</v>
      </c>
      <c r="G27" s="57"/>
      <c r="H27" s="57"/>
      <c r="I27" s="57"/>
      <c r="J27" s="57"/>
      <c r="K27" s="57"/>
      <c r="L27" s="57"/>
      <c r="M27" s="57"/>
      <c r="N27" s="57"/>
      <c r="O27" s="57"/>
      <c r="P27" s="57"/>
      <c r="Q27" s="57"/>
      <c r="R27" s="57"/>
      <c r="S27" s="57"/>
      <c r="T27" s="57"/>
      <c r="U27" s="57"/>
      <c r="V27" s="57"/>
      <c r="W27" s="57"/>
      <c r="X27" s="57"/>
      <c r="Y27" s="57"/>
      <c r="Z27" s="57"/>
    </row>
    <row r="28" ht="15.75" customHeight="1">
      <c r="A28" s="74" t="s">
        <v>327</v>
      </c>
      <c r="B28" s="75" t="s">
        <v>328</v>
      </c>
      <c r="C28" s="76" t="s">
        <v>329</v>
      </c>
      <c r="D28" s="77" t="s">
        <v>330</v>
      </c>
      <c r="E28" s="78" t="s">
        <v>331</v>
      </c>
      <c r="F28" s="74" t="s">
        <v>332</v>
      </c>
      <c r="G28" s="57"/>
      <c r="H28" s="57"/>
      <c r="I28" s="57"/>
      <c r="J28" s="57"/>
      <c r="K28" s="57"/>
      <c r="L28" s="57"/>
      <c r="M28" s="57"/>
      <c r="N28" s="57"/>
      <c r="O28" s="57"/>
      <c r="P28" s="57"/>
      <c r="Q28" s="57"/>
      <c r="R28" s="57"/>
      <c r="S28" s="57"/>
      <c r="T28" s="57"/>
      <c r="U28" s="57"/>
      <c r="V28" s="57"/>
      <c r="W28" s="57"/>
      <c r="X28" s="57"/>
      <c r="Y28" s="57"/>
      <c r="Z28" s="57"/>
    </row>
    <row r="29" ht="15.75" customHeight="1">
      <c r="A29" s="73" t="s">
        <v>333</v>
      </c>
      <c r="B29" s="11"/>
      <c r="C29" s="11"/>
      <c r="D29" s="11"/>
      <c r="E29" s="11"/>
      <c r="F29" s="12"/>
      <c r="G29" s="57"/>
      <c r="H29" s="57"/>
      <c r="I29" s="57"/>
      <c r="J29" s="57"/>
      <c r="K29" s="57"/>
      <c r="L29" s="57"/>
      <c r="M29" s="57"/>
      <c r="N29" s="57"/>
      <c r="O29" s="57"/>
      <c r="P29" s="57"/>
      <c r="Q29" s="57"/>
      <c r="R29" s="57"/>
      <c r="S29" s="57"/>
      <c r="T29" s="57"/>
      <c r="U29" s="57"/>
      <c r="V29" s="57"/>
      <c r="W29" s="57"/>
      <c r="X29" s="57"/>
      <c r="Y29" s="57"/>
      <c r="Z29" s="57"/>
    </row>
    <row r="30" ht="15.75" customHeight="1">
      <c r="A30" s="74" t="s">
        <v>334</v>
      </c>
      <c r="B30" s="75" t="s">
        <v>335</v>
      </c>
      <c r="C30" s="76" t="s">
        <v>336</v>
      </c>
      <c r="D30" s="77" t="s">
        <v>337</v>
      </c>
      <c r="E30" s="78" t="s">
        <v>338</v>
      </c>
      <c r="F30" s="74" t="s">
        <v>339</v>
      </c>
      <c r="G30" s="57"/>
      <c r="H30" s="57"/>
      <c r="I30" s="57"/>
      <c r="J30" s="57"/>
      <c r="K30" s="57"/>
      <c r="L30" s="57"/>
      <c r="M30" s="57"/>
      <c r="N30" s="57"/>
      <c r="O30" s="57"/>
      <c r="P30" s="57"/>
      <c r="Q30" s="57"/>
      <c r="R30" s="57"/>
      <c r="S30" s="57"/>
      <c r="T30" s="57"/>
      <c r="U30" s="57"/>
      <c r="V30" s="57"/>
      <c r="W30" s="57"/>
      <c r="X30" s="57"/>
      <c r="Y30" s="57"/>
      <c r="Z30" s="57"/>
    </row>
    <row r="31" ht="15.75" customHeight="1">
      <c r="A31" s="74" t="s">
        <v>340</v>
      </c>
      <c r="B31" s="75" t="s">
        <v>341</v>
      </c>
      <c r="C31" s="79" t="s">
        <v>342</v>
      </c>
      <c r="D31" s="77" t="s">
        <v>343</v>
      </c>
      <c r="E31" s="78" t="s">
        <v>344</v>
      </c>
      <c r="F31" s="74" t="s">
        <v>345</v>
      </c>
      <c r="G31" s="57"/>
      <c r="H31" s="57"/>
      <c r="I31" s="57"/>
      <c r="J31" s="57"/>
      <c r="K31" s="57"/>
      <c r="L31" s="57"/>
      <c r="M31" s="57"/>
      <c r="N31" s="57"/>
      <c r="O31" s="57"/>
      <c r="P31" s="57"/>
      <c r="Q31" s="57"/>
      <c r="R31" s="57"/>
      <c r="S31" s="57"/>
      <c r="T31" s="57"/>
      <c r="U31" s="57"/>
      <c r="V31" s="57"/>
      <c r="W31" s="57"/>
      <c r="X31" s="57"/>
      <c r="Y31" s="57"/>
      <c r="Z31" s="57"/>
    </row>
    <row r="32" ht="15.75" customHeight="1">
      <c r="A32" s="74" t="s">
        <v>346</v>
      </c>
      <c r="B32" s="75" t="s">
        <v>347</v>
      </c>
      <c r="C32" s="76" t="s">
        <v>348</v>
      </c>
      <c r="D32" s="77" t="s">
        <v>349</v>
      </c>
      <c r="E32" s="78" t="s">
        <v>350</v>
      </c>
      <c r="F32" s="74" t="s">
        <v>351</v>
      </c>
      <c r="G32" s="57"/>
      <c r="H32" s="57"/>
      <c r="I32" s="57"/>
      <c r="J32" s="57"/>
      <c r="K32" s="57"/>
      <c r="L32" s="57"/>
      <c r="M32" s="57"/>
      <c r="N32" s="57"/>
      <c r="O32" s="57"/>
      <c r="P32" s="57"/>
      <c r="Q32" s="57"/>
      <c r="R32" s="57"/>
      <c r="S32" s="57"/>
      <c r="T32" s="57"/>
      <c r="U32" s="57"/>
      <c r="V32" s="57"/>
      <c r="W32" s="57"/>
      <c r="X32" s="57"/>
      <c r="Y32" s="57"/>
      <c r="Z32" s="57"/>
    </row>
    <row r="33" ht="15.75" customHeight="1">
      <c r="A33" s="74" t="s">
        <v>352</v>
      </c>
      <c r="B33" s="75" t="s">
        <v>353</v>
      </c>
      <c r="C33" s="76" t="s">
        <v>354</v>
      </c>
      <c r="D33" s="77" t="s">
        <v>355</v>
      </c>
      <c r="E33" s="78" t="s">
        <v>356</v>
      </c>
      <c r="F33" s="74" t="s">
        <v>357</v>
      </c>
      <c r="G33" s="57"/>
      <c r="H33" s="57"/>
      <c r="I33" s="57"/>
      <c r="J33" s="57"/>
      <c r="K33" s="57"/>
      <c r="L33" s="57"/>
      <c r="M33" s="57"/>
      <c r="N33" s="57"/>
      <c r="O33" s="57"/>
      <c r="P33" s="57"/>
      <c r="Q33" s="57"/>
      <c r="R33" s="57"/>
      <c r="S33" s="57"/>
      <c r="T33" s="57"/>
      <c r="U33" s="57"/>
      <c r="V33" s="57"/>
      <c r="W33" s="57"/>
      <c r="X33" s="57"/>
      <c r="Y33" s="57"/>
      <c r="Z33" s="57"/>
    </row>
    <row r="34" ht="15.75" customHeight="1">
      <c r="A34" s="74" t="s">
        <v>358</v>
      </c>
      <c r="B34" s="75" t="s">
        <v>359</v>
      </c>
      <c r="C34" s="76" t="s">
        <v>360</v>
      </c>
      <c r="D34" s="77" t="s">
        <v>361</v>
      </c>
      <c r="E34" s="78" t="s">
        <v>362</v>
      </c>
      <c r="F34" s="77" t="s">
        <v>363</v>
      </c>
      <c r="G34" s="57"/>
      <c r="H34" s="57"/>
      <c r="I34" s="57"/>
      <c r="J34" s="57"/>
      <c r="K34" s="57"/>
      <c r="L34" s="57"/>
      <c r="M34" s="57"/>
      <c r="N34" s="57"/>
      <c r="O34" s="57"/>
      <c r="P34" s="57"/>
      <c r="Q34" s="57"/>
      <c r="R34" s="57"/>
      <c r="S34" s="57"/>
      <c r="T34" s="57"/>
      <c r="U34" s="57"/>
      <c r="V34" s="57"/>
      <c r="W34" s="57"/>
      <c r="X34" s="57"/>
      <c r="Y34" s="57"/>
      <c r="Z34" s="57"/>
    </row>
    <row r="35" ht="15.75" customHeight="1">
      <c r="A35" s="73" t="s">
        <v>364</v>
      </c>
      <c r="B35" s="11"/>
      <c r="C35" s="11"/>
      <c r="D35" s="11"/>
      <c r="E35" s="11"/>
      <c r="F35" s="12"/>
      <c r="G35" s="57"/>
      <c r="H35" s="57"/>
      <c r="I35" s="57"/>
      <c r="J35" s="57"/>
      <c r="K35" s="57"/>
      <c r="L35" s="57"/>
      <c r="M35" s="57"/>
      <c r="N35" s="57"/>
      <c r="O35" s="57"/>
      <c r="P35" s="57"/>
      <c r="Q35" s="57"/>
      <c r="R35" s="57"/>
      <c r="S35" s="57"/>
      <c r="T35" s="57"/>
      <c r="U35" s="57"/>
      <c r="V35" s="57"/>
      <c r="W35" s="57"/>
      <c r="X35" s="57"/>
      <c r="Y35" s="57"/>
      <c r="Z35" s="57"/>
    </row>
    <row r="36" ht="15.75" customHeight="1">
      <c r="A36" s="74" t="s">
        <v>365</v>
      </c>
      <c r="B36" s="75" t="s">
        <v>366</v>
      </c>
      <c r="C36" s="79" t="s">
        <v>367</v>
      </c>
      <c r="D36" s="77" t="s">
        <v>368</v>
      </c>
      <c r="E36" s="78" t="s">
        <v>369</v>
      </c>
      <c r="F36" s="77" t="s">
        <v>370</v>
      </c>
      <c r="G36" s="57"/>
      <c r="H36" s="57"/>
      <c r="I36" s="57"/>
      <c r="J36" s="57"/>
      <c r="K36" s="57"/>
      <c r="L36" s="57"/>
      <c r="M36" s="57"/>
      <c r="N36" s="57"/>
      <c r="O36" s="57"/>
      <c r="P36" s="57"/>
      <c r="Q36" s="57"/>
      <c r="R36" s="57"/>
      <c r="S36" s="57"/>
      <c r="T36" s="57"/>
      <c r="U36" s="57"/>
      <c r="V36" s="57"/>
      <c r="W36" s="57"/>
      <c r="X36" s="57"/>
      <c r="Y36" s="57"/>
      <c r="Z36" s="57"/>
    </row>
    <row r="37" ht="15.75" customHeight="1">
      <c r="A37" s="74" t="s">
        <v>371</v>
      </c>
      <c r="B37" s="75" t="s">
        <v>372</v>
      </c>
      <c r="C37" s="79" t="s">
        <v>373</v>
      </c>
      <c r="D37" s="74" t="s">
        <v>374</v>
      </c>
      <c r="E37" s="78" t="s">
        <v>375</v>
      </c>
      <c r="F37" s="77" t="s">
        <v>376</v>
      </c>
      <c r="G37" s="57"/>
      <c r="H37" s="57"/>
      <c r="I37" s="57"/>
      <c r="J37" s="57"/>
      <c r="K37" s="57"/>
      <c r="L37" s="57"/>
      <c r="M37" s="57"/>
      <c r="N37" s="57"/>
      <c r="O37" s="57"/>
      <c r="P37" s="57"/>
      <c r="Q37" s="57"/>
      <c r="R37" s="57"/>
      <c r="S37" s="57"/>
      <c r="T37" s="57"/>
      <c r="U37" s="57"/>
      <c r="V37" s="57"/>
      <c r="W37" s="57"/>
      <c r="X37" s="57"/>
      <c r="Y37" s="57"/>
      <c r="Z37" s="57"/>
    </row>
    <row r="38" ht="15.75" customHeight="1">
      <c r="A38" s="74" t="s">
        <v>377</v>
      </c>
      <c r="B38" s="75" t="s">
        <v>378</v>
      </c>
      <c r="C38" s="79" t="s">
        <v>379</v>
      </c>
      <c r="D38" s="77" t="s">
        <v>380</v>
      </c>
      <c r="E38" s="78" t="s">
        <v>381</v>
      </c>
      <c r="F38" s="77" t="s">
        <v>376</v>
      </c>
      <c r="G38" s="57"/>
      <c r="H38" s="57"/>
      <c r="I38" s="57"/>
      <c r="J38" s="57"/>
      <c r="K38" s="57"/>
      <c r="L38" s="57"/>
      <c r="M38" s="57"/>
      <c r="N38" s="57"/>
      <c r="O38" s="57"/>
      <c r="P38" s="57"/>
      <c r="Q38" s="57"/>
      <c r="R38" s="57"/>
      <c r="S38" s="57"/>
      <c r="T38" s="57"/>
      <c r="U38" s="57"/>
      <c r="V38" s="57"/>
      <c r="W38" s="57"/>
      <c r="X38" s="57"/>
      <c r="Y38" s="57"/>
      <c r="Z38" s="57"/>
    </row>
    <row r="39" ht="15.75" customHeight="1">
      <c r="A39" s="74" t="s">
        <v>382</v>
      </c>
      <c r="B39" s="75" t="s">
        <v>383</v>
      </c>
      <c r="C39" s="76" t="s">
        <v>384</v>
      </c>
      <c r="D39" s="77" t="s">
        <v>385</v>
      </c>
      <c r="E39" s="78" t="s">
        <v>386</v>
      </c>
      <c r="F39" s="77" t="s">
        <v>387</v>
      </c>
      <c r="G39" s="57"/>
      <c r="H39" s="57"/>
      <c r="I39" s="57"/>
      <c r="J39" s="57"/>
      <c r="K39" s="57"/>
      <c r="L39" s="57"/>
      <c r="M39" s="57"/>
      <c r="N39" s="57"/>
      <c r="O39" s="57"/>
      <c r="P39" s="57"/>
      <c r="Q39" s="57"/>
      <c r="R39" s="57"/>
      <c r="S39" s="57"/>
      <c r="T39" s="57"/>
      <c r="U39" s="57"/>
      <c r="V39" s="57"/>
      <c r="W39" s="57"/>
      <c r="X39" s="57"/>
      <c r="Y39" s="57"/>
      <c r="Z39" s="57"/>
    </row>
    <row r="40" ht="15.75" customHeight="1">
      <c r="A40" s="73" t="s">
        <v>388</v>
      </c>
      <c r="B40" s="11"/>
      <c r="C40" s="11"/>
      <c r="D40" s="11"/>
      <c r="E40" s="11"/>
      <c r="F40" s="12"/>
      <c r="G40" s="57"/>
      <c r="H40" s="57"/>
      <c r="I40" s="57"/>
      <c r="J40" s="57"/>
      <c r="K40" s="57"/>
      <c r="L40" s="57"/>
      <c r="M40" s="57"/>
      <c r="N40" s="57"/>
      <c r="O40" s="57"/>
      <c r="P40" s="57"/>
      <c r="Q40" s="57"/>
      <c r="R40" s="57"/>
      <c r="S40" s="57"/>
      <c r="T40" s="57"/>
      <c r="U40" s="57"/>
      <c r="V40" s="57"/>
      <c r="W40" s="57"/>
      <c r="X40" s="57"/>
      <c r="Y40" s="57"/>
      <c r="Z40" s="57"/>
    </row>
    <row r="41" ht="15.75" customHeight="1">
      <c r="A41" s="74" t="s">
        <v>389</v>
      </c>
      <c r="B41" s="75" t="s">
        <v>390</v>
      </c>
      <c r="C41" s="76" t="s">
        <v>391</v>
      </c>
      <c r="D41" s="77" t="s">
        <v>392</v>
      </c>
      <c r="E41" s="78" t="s">
        <v>393</v>
      </c>
      <c r="F41" s="74" t="s">
        <v>394</v>
      </c>
      <c r="G41" s="57"/>
      <c r="H41" s="57"/>
      <c r="I41" s="57"/>
      <c r="J41" s="57"/>
      <c r="K41" s="57"/>
      <c r="L41" s="57"/>
      <c r="M41" s="57"/>
      <c r="N41" s="57"/>
      <c r="O41" s="57"/>
      <c r="P41" s="57"/>
      <c r="Q41" s="57"/>
      <c r="R41" s="57"/>
      <c r="S41" s="57"/>
      <c r="T41" s="57"/>
      <c r="U41" s="57"/>
      <c r="V41" s="57"/>
      <c r="W41" s="57"/>
      <c r="X41" s="57"/>
      <c r="Y41" s="57"/>
      <c r="Z41" s="57"/>
    </row>
    <row r="42" ht="15.75" customHeight="1">
      <c r="A42" s="74" t="s">
        <v>395</v>
      </c>
      <c r="B42" s="75" t="s">
        <v>390</v>
      </c>
      <c r="C42" s="76" t="s">
        <v>396</v>
      </c>
      <c r="D42" s="77" t="s">
        <v>397</v>
      </c>
      <c r="E42" s="78" t="s">
        <v>398</v>
      </c>
      <c r="F42" s="74" t="s">
        <v>399</v>
      </c>
      <c r="G42" s="57"/>
      <c r="H42" s="57"/>
      <c r="I42" s="57"/>
      <c r="J42" s="57"/>
      <c r="K42" s="57"/>
      <c r="L42" s="57"/>
      <c r="M42" s="57"/>
      <c r="N42" s="57"/>
      <c r="O42" s="57"/>
      <c r="P42" s="57"/>
      <c r="Q42" s="57"/>
      <c r="R42" s="57"/>
      <c r="S42" s="57"/>
      <c r="T42" s="57"/>
      <c r="U42" s="57"/>
      <c r="V42" s="57"/>
      <c r="W42" s="57"/>
      <c r="X42" s="57"/>
      <c r="Y42" s="57"/>
      <c r="Z42" s="57"/>
    </row>
    <row r="43" ht="15.75" customHeight="1">
      <c r="A43" s="74" t="s">
        <v>400</v>
      </c>
      <c r="B43" s="75" t="s">
        <v>390</v>
      </c>
      <c r="C43" s="76" t="s">
        <v>401</v>
      </c>
      <c r="D43" s="77" t="s">
        <v>402</v>
      </c>
      <c r="E43" s="78" t="s">
        <v>403</v>
      </c>
      <c r="F43" s="74" t="s">
        <v>404</v>
      </c>
      <c r="G43" s="57"/>
      <c r="H43" s="57"/>
      <c r="I43" s="57"/>
      <c r="J43" s="57"/>
      <c r="K43" s="57"/>
      <c r="L43" s="57"/>
      <c r="M43" s="57"/>
      <c r="N43" s="57"/>
      <c r="O43" s="57"/>
      <c r="P43" s="57"/>
      <c r="Q43" s="57"/>
      <c r="R43" s="57"/>
      <c r="S43" s="57"/>
      <c r="T43" s="57"/>
      <c r="U43" s="57"/>
      <c r="V43" s="57"/>
      <c r="W43" s="57"/>
      <c r="X43" s="57"/>
      <c r="Y43" s="57"/>
      <c r="Z43" s="57"/>
    </row>
    <row r="44" ht="15.75" customHeight="1">
      <c r="A44" s="74" t="s">
        <v>405</v>
      </c>
      <c r="B44" s="75" t="s">
        <v>390</v>
      </c>
      <c r="C44" s="76" t="s">
        <v>406</v>
      </c>
      <c r="D44" s="77" t="s">
        <v>407</v>
      </c>
      <c r="E44" s="78" t="s">
        <v>408</v>
      </c>
      <c r="F44" s="74" t="s">
        <v>409</v>
      </c>
      <c r="G44" s="57"/>
      <c r="H44" s="57"/>
      <c r="I44" s="57"/>
      <c r="J44" s="57"/>
      <c r="K44" s="57"/>
      <c r="L44" s="57"/>
      <c r="M44" s="57"/>
      <c r="N44" s="57"/>
      <c r="O44" s="57"/>
      <c r="P44" s="57"/>
      <c r="Q44" s="57"/>
      <c r="R44" s="57"/>
      <c r="S44" s="57"/>
      <c r="T44" s="57"/>
      <c r="U44" s="57"/>
      <c r="V44" s="57"/>
      <c r="W44" s="57"/>
      <c r="X44" s="57"/>
      <c r="Y44" s="57"/>
      <c r="Z44" s="57"/>
    </row>
    <row r="45" ht="15.75" customHeight="1">
      <c r="A45" s="74" t="s">
        <v>410</v>
      </c>
      <c r="B45" s="75" t="s">
        <v>390</v>
      </c>
      <c r="C45" s="76" t="s">
        <v>411</v>
      </c>
      <c r="D45" s="77" t="s">
        <v>412</v>
      </c>
      <c r="E45" s="78" t="s">
        <v>413</v>
      </c>
      <c r="F45" s="74" t="s">
        <v>414</v>
      </c>
      <c r="G45" s="57"/>
      <c r="H45" s="57"/>
      <c r="I45" s="57"/>
      <c r="J45" s="57"/>
      <c r="K45" s="57"/>
      <c r="L45" s="57"/>
      <c r="M45" s="57"/>
      <c r="N45" s="57"/>
      <c r="O45" s="57"/>
      <c r="P45" s="57"/>
      <c r="Q45" s="57"/>
      <c r="R45" s="57"/>
      <c r="S45" s="57"/>
      <c r="T45" s="57"/>
      <c r="U45" s="57"/>
      <c r="V45" s="57"/>
      <c r="W45" s="57"/>
      <c r="X45" s="57"/>
      <c r="Y45" s="57"/>
      <c r="Z45" s="57"/>
    </row>
    <row r="46" ht="15.75" customHeight="1">
      <c r="A46" s="74" t="s">
        <v>415</v>
      </c>
      <c r="B46" s="75" t="s">
        <v>390</v>
      </c>
      <c r="C46" s="76" t="s">
        <v>416</v>
      </c>
      <c r="D46" s="74" t="s">
        <v>417</v>
      </c>
      <c r="E46" s="78" t="s">
        <v>418</v>
      </c>
      <c r="F46" s="74" t="s">
        <v>419</v>
      </c>
      <c r="G46" s="57"/>
      <c r="H46" s="57"/>
      <c r="I46" s="57"/>
      <c r="J46" s="57"/>
      <c r="K46" s="57"/>
      <c r="L46" s="57"/>
      <c r="M46" s="57"/>
      <c r="N46" s="57"/>
      <c r="O46" s="57"/>
      <c r="P46" s="57"/>
      <c r="Q46" s="57"/>
      <c r="R46" s="57"/>
      <c r="S46" s="57"/>
      <c r="T46" s="57"/>
      <c r="U46" s="57"/>
      <c r="V46" s="57"/>
      <c r="W46" s="57"/>
      <c r="X46" s="57"/>
      <c r="Y46" s="57"/>
      <c r="Z46" s="57"/>
    </row>
    <row r="47" ht="15.75" customHeight="1">
      <c r="A47" s="74" t="s">
        <v>420</v>
      </c>
      <c r="B47" s="75" t="s">
        <v>390</v>
      </c>
      <c r="C47" s="76" t="s">
        <v>421</v>
      </c>
      <c r="D47" s="77" t="s">
        <v>422</v>
      </c>
      <c r="E47" s="78" t="s">
        <v>423</v>
      </c>
      <c r="F47" s="74" t="s">
        <v>424</v>
      </c>
      <c r="G47" s="57"/>
      <c r="H47" s="57"/>
      <c r="I47" s="57"/>
      <c r="J47" s="57"/>
      <c r="K47" s="57"/>
      <c r="L47" s="57"/>
      <c r="M47" s="57"/>
      <c r="N47" s="57"/>
      <c r="O47" s="57"/>
      <c r="P47" s="57"/>
      <c r="Q47" s="57"/>
      <c r="R47" s="57"/>
      <c r="S47" s="57"/>
      <c r="T47" s="57"/>
      <c r="U47" s="57"/>
      <c r="V47" s="57"/>
      <c r="W47" s="57"/>
      <c r="X47" s="57"/>
      <c r="Y47" s="57"/>
      <c r="Z47" s="57"/>
    </row>
    <row r="48" ht="15.75" customHeight="1">
      <c r="A48" s="74" t="s">
        <v>425</v>
      </c>
      <c r="B48" s="75" t="s">
        <v>390</v>
      </c>
      <c r="C48" s="76" t="s">
        <v>426</v>
      </c>
      <c r="D48" s="77" t="s">
        <v>427</v>
      </c>
      <c r="E48" s="78" t="s">
        <v>428</v>
      </c>
      <c r="F48" s="74" t="s">
        <v>429</v>
      </c>
      <c r="G48" s="57"/>
      <c r="H48" s="57"/>
      <c r="I48" s="57"/>
      <c r="J48" s="57"/>
      <c r="K48" s="57"/>
      <c r="L48" s="57"/>
      <c r="M48" s="57"/>
      <c r="N48" s="57"/>
      <c r="O48" s="57"/>
      <c r="P48" s="57"/>
      <c r="Q48" s="57"/>
      <c r="R48" s="57"/>
      <c r="S48" s="57"/>
      <c r="T48" s="57"/>
      <c r="U48" s="57"/>
      <c r="V48" s="57"/>
      <c r="W48" s="57"/>
      <c r="X48" s="57"/>
      <c r="Y48" s="57"/>
      <c r="Z48" s="57"/>
    </row>
    <row r="49" ht="15.75" customHeight="1">
      <c r="A49" s="74" t="s">
        <v>430</v>
      </c>
      <c r="B49" s="75" t="s">
        <v>390</v>
      </c>
      <c r="C49" s="76" t="s">
        <v>431</v>
      </c>
      <c r="D49" s="77" t="s">
        <v>432</v>
      </c>
      <c r="E49" s="78" t="s">
        <v>433</v>
      </c>
      <c r="F49" s="77" t="s">
        <v>434</v>
      </c>
      <c r="G49" s="57"/>
      <c r="H49" s="57"/>
      <c r="I49" s="57"/>
      <c r="J49" s="57"/>
      <c r="K49" s="57"/>
      <c r="L49" s="57"/>
      <c r="M49" s="57"/>
      <c r="N49" s="57"/>
      <c r="O49" s="57"/>
      <c r="P49" s="57"/>
      <c r="Q49" s="57"/>
      <c r="R49" s="57"/>
      <c r="S49" s="57"/>
      <c r="T49" s="57"/>
      <c r="U49" s="57"/>
      <c r="V49" s="57"/>
      <c r="W49" s="57"/>
      <c r="X49" s="57"/>
      <c r="Y49" s="57"/>
      <c r="Z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sheetData>
  <mergeCells count="8">
    <mergeCell ref="A1:F1"/>
    <mergeCell ref="A3:F3"/>
    <mergeCell ref="A7:F7"/>
    <mergeCell ref="A13:F13"/>
    <mergeCell ref="A25:F25"/>
    <mergeCell ref="A29:F29"/>
    <mergeCell ref="A35:F35"/>
    <mergeCell ref="A40:F4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16.0"/>
    <col customWidth="1" min="3" max="3" width="56.0"/>
    <col customWidth="1" min="4" max="26" width="8.71"/>
  </cols>
  <sheetData>
    <row r="1" ht="21.75" customHeight="1">
      <c r="A1" s="80" t="s">
        <v>435</v>
      </c>
      <c r="B1" s="11"/>
      <c r="C1" s="12"/>
    </row>
    <row r="2">
      <c r="A2" s="25" t="s">
        <v>80</v>
      </c>
      <c r="B2" s="25" t="s">
        <v>81</v>
      </c>
      <c r="C2" s="25" t="s">
        <v>165</v>
      </c>
    </row>
    <row r="3">
      <c r="A3" s="81" t="s">
        <v>436</v>
      </c>
      <c r="B3" s="82"/>
      <c r="C3" s="83" t="s">
        <v>437</v>
      </c>
    </row>
    <row r="4">
      <c r="A4" s="84" t="s">
        <v>438</v>
      </c>
      <c r="B4" s="82"/>
      <c r="C4" s="85" t="s">
        <v>439</v>
      </c>
    </row>
    <row r="5">
      <c r="A5" s="81" t="s">
        <v>440</v>
      </c>
      <c r="B5" s="82"/>
      <c r="C5" s="83" t="s">
        <v>441</v>
      </c>
    </row>
    <row r="6">
      <c r="A6" s="81" t="s">
        <v>442</v>
      </c>
      <c r="B6" s="82"/>
      <c r="C6" s="83" t="s">
        <v>443</v>
      </c>
    </row>
    <row r="7">
      <c r="A7" s="84" t="s">
        <v>444</v>
      </c>
      <c r="B7" s="82"/>
      <c r="C7" s="83" t="s">
        <v>445</v>
      </c>
    </row>
    <row r="8">
      <c r="A8" s="84" t="s">
        <v>446</v>
      </c>
      <c r="B8" s="86"/>
      <c r="C8" s="85" t="s">
        <v>447</v>
      </c>
    </row>
    <row r="9">
      <c r="A9" s="84" t="s">
        <v>448</v>
      </c>
      <c r="B9" s="86"/>
      <c r="C9" s="85" t="s">
        <v>449</v>
      </c>
    </row>
    <row r="10">
      <c r="A10" s="84" t="s">
        <v>450</v>
      </c>
      <c r="B10" s="82"/>
      <c r="C10" s="85" t="s">
        <v>451</v>
      </c>
    </row>
    <row r="11">
      <c r="A11" s="84" t="s">
        <v>452</v>
      </c>
      <c r="B11" s="82"/>
      <c r="C11" s="83" t="s">
        <v>453</v>
      </c>
    </row>
    <row r="12">
      <c r="A12" s="84" t="s">
        <v>454</v>
      </c>
      <c r="B12" s="87" t="str">
        <f>'設計入力'!D9</f>
        <v/>
      </c>
      <c r="C12" s="83" t="s">
        <v>455</v>
      </c>
    </row>
    <row r="13">
      <c r="A13" s="84" t="s">
        <v>456</v>
      </c>
      <c r="B13" s="88" t="str">
        <f>IF(OR(B5="",B6=""),"",B6-B5)</f>
        <v/>
      </c>
      <c r="C13" s="83" t="s">
        <v>457</v>
      </c>
    </row>
    <row r="14">
      <c r="A14" s="84" t="s">
        <v>458</v>
      </c>
      <c r="B14" s="88" t="str">
        <f>IF(OR(B13="",B12=""),"",B13*B12)</f>
        <v/>
      </c>
      <c r="C14" s="85" t="s">
        <v>459</v>
      </c>
    </row>
    <row r="15">
      <c r="A15" s="84" t="s">
        <v>460</v>
      </c>
      <c r="B15" s="88" t="str">
        <f>IF(OR(B7="",B8="",B10=""),"",B7*B8*B10)</f>
        <v/>
      </c>
      <c r="C15" s="83" t="s">
        <v>461</v>
      </c>
    </row>
    <row r="16">
      <c r="A16" s="84" t="s">
        <v>462</v>
      </c>
      <c r="B16" s="88" t="str">
        <f>IF(OR(B7="",B9="",B11=""),"",B7*B9*B11)</f>
        <v/>
      </c>
      <c r="C16" s="83" t="s">
        <v>463</v>
      </c>
    </row>
    <row r="17">
      <c r="A17" s="89" t="s">
        <v>464</v>
      </c>
      <c r="B17" s="90" t="str">
        <f>IF(OR(B3="",B4="",B14="",B15="",B16=""),"",B3-B4-B15-B16-B14)</f>
        <v/>
      </c>
      <c r="C17" s="83" t="s">
        <v>465</v>
      </c>
    </row>
    <row r="19" ht="15.0" customHeight="1">
      <c r="A19" s="91" t="s">
        <v>466</v>
      </c>
    </row>
    <row r="20" ht="15.0" customHeight="1">
      <c r="A20" s="91" t="s">
        <v>467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C1"/>
    <mergeCell ref="A19:C19"/>
    <mergeCell ref="A20:C20"/>
  </mergeCells>
  <printOptions/>
  <pageMargins bottom="1.0" footer="0.0" header="0.0" left="0.75" right="0.75" top="1.0"/>
  <pageSetup paperSize="9" orientation="portrait"/>
  <drawing r:id="rId1"/>
</worksheet>
</file>